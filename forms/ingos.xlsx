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drawings/drawing2.xml" ContentType="application/vnd.openxmlformats-officedocument.drawing+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drawings/drawing3.xml" ContentType="application/vnd.openxmlformats-officedocument.drawing+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drawings/drawing4.xml" ContentType="application/vnd.openxmlformats-officedocument.drawing+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drawings/drawing5.xml" ContentType="application/vnd.openxmlformats-officedocument.drawing+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drawings/drawing6.xml" ContentType="application/vnd.openxmlformats-officedocument.drawing+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drawings/drawing7.xml" ContentType="application/vnd.openxmlformats-officedocument.drawing+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ЭтаКнига"/>
  <mc:AlternateContent xmlns:mc="http://schemas.openxmlformats.org/markup-compatibility/2006">
    <mc:Choice Requires="x15">
      <x15ac:absPath xmlns:x15ac="http://schemas.microsoft.com/office/spreadsheetml/2010/11/ac" url="C:\Users\Katana\Desktop\ЗАЯВЛЕНИЯ СТРАХОВЫЕ\"/>
    </mc:Choice>
  </mc:AlternateContent>
  <xr:revisionPtr revIDLastSave="0" documentId="8_{E7DF8B57-E686-41FC-85DD-7BF96E0EF02A}" xr6:coauthVersionLast="47" xr6:coauthVersionMax="47" xr10:uidLastSave="{00000000-0000-0000-0000-000000000000}"/>
  <workbookProtection workbookAlgorithmName="SHA-512" workbookHashValue="rG96EF1zoiPJaRCr9v2/M5+Li1aTFS86a01ptW/Y7Fc4TQ6Embu94v7T2TlBBDqeCrwBG7Ye9WwxTk3hB7pTvw==" workbookSaltValue="1BpN0mds9mqnAzVPADE6eQ==" workbookSpinCount="100000" lockStructure="1"/>
  <bookViews>
    <workbookView xWindow="38790" yWindow="390" windowWidth="28800" windowHeight="15345" tabRatio="750" xr2:uid="{00000000-000D-0000-FFFF-FFFF00000000}"/>
  </bookViews>
  <sheets>
    <sheet name="Основной" sheetId="22" r:id="rId1"/>
    <sheet name="MB" sheetId="14" r:id="rId2"/>
    <sheet name="BI" sheetId="15" r:id="rId3"/>
    <sheet name="EE" sheetId="16" state="hidden" r:id="rId4"/>
    <sheet name="Авто" sheetId="18" r:id="rId5"/>
    <sheet name="ТМЦ в холодильнике" sheetId="19" r:id="rId6"/>
    <sheet name="Ювелирные изделия и меха" sheetId="20" r:id="rId7"/>
    <sheet name="перечень" sheetId="21" state="hidden" r:id="rId8"/>
    <sheet name="Export" sheetId="23" state="hidden" r:id="rId9"/>
  </sheets>
  <definedNames>
    <definedName name="_xlnm._FilterDatabase" localSheetId="8" hidden="1">Export!$A$2:$D$135</definedName>
    <definedName name="_xlnm._FilterDatabase" localSheetId="1" hidden="1">MB!$K$10:$K$11</definedName>
    <definedName name="ИмяСтрахователя">Основной!$E$7</definedName>
    <definedName name="_xlnm.Print_Area" localSheetId="2">BI!$A$1:$K$18</definedName>
    <definedName name="_xlnm.Print_Area" localSheetId="3">EE!$A$1:$K$12</definedName>
    <definedName name="_xlnm.Print_Area" localSheetId="1">MB!$A$1:$K$11</definedName>
    <definedName name="_xlnm.Print_Area" localSheetId="4">Авто!$A$1:$K$15</definedName>
    <definedName name="_xlnm.Print_Area" localSheetId="0">Основной!$A$1:$K$134</definedName>
    <definedName name="_xlnm.Print_Area" localSheetId="5">'ТМЦ в холодильнике'!$A$1:$K$38</definedName>
    <definedName name="_xlnm.Print_Area" localSheetId="6">'Ювелирные изделия и меха'!$A$1:$K$18</definedName>
    <definedName name="поиск1">OFFSET(перечень!$B$1,MATCH(Основной!$B$32,перечень!$B:$B,0)-1,1,COUNTIF(перечень!$B:$B,Основной!$B$32),1)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56" i="23" l="1"/>
  <c r="D245" i="23"/>
  <c r="D241" i="23"/>
  <c r="D240" i="23"/>
  <c r="D236" i="23"/>
  <c r="D235" i="23"/>
  <c r="D232" i="23"/>
  <c r="D231" i="23"/>
  <c r="D230" i="23"/>
  <c r="D228" i="23"/>
  <c r="D225" i="23"/>
  <c r="D224" i="23"/>
  <c r="D223" i="23"/>
  <c r="D222" i="23"/>
  <c r="D221" i="23"/>
  <c r="D220" i="23"/>
  <c r="D219" i="23"/>
  <c r="D217" i="23"/>
  <c r="D216" i="23"/>
  <c r="D215" i="23"/>
  <c r="D214" i="23"/>
  <c r="D213" i="23"/>
  <c r="D212" i="23"/>
  <c r="D211" i="23"/>
  <c r="D210" i="23"/>
  <c r="D209" i="23"/>
  <c r="D208" i="23"/>
  <c r="D197" i="23"/>
  <c r="D196" i="23"/>
  <c r="D195" i="23"/>
  <c r="D194" i="23"/>
  <c r="D193" i="23"/>
  <c r="D192" i="23"/>
  <c r="D182" i="23"/>
  <c r="D181" i="23"/>
  <c r="D173" i="23"/>
  <c r="D172" i="23"/>
  <c r="D171" i="23"/>
  <c r="D170" i="23"/>
  <c r="D169" i="23"/>
  <c r="D168" i="23"/>
  <c r="D167" i="23"/>
  <c r="D166" i="23"/>
  <c r="D165" i="23"/>
  <c r="D164" i="23"/>
  <c r="D163" i="23"/>
  <c r="D162" i="23"/>
  <c r="D161" i="23"/>
  <c r="D160" i="23"/>
  <c r="D159" i="23"/>
  <c r="D158" i="23"/>
  <c r="D157" i="23"/>
  <c r="D156" i="23"/>
  <c r="D155" i="23"/>
  <c r="D154" i="23"/>
  <c r="D153" i="23"/>
  <c r="D140" i="23"/>
  <c r="D139" i="23"/>
  <c r="D129" i="23"/>
  <c r="D128" i="23"/>
  <c r="D127" i="23"/>
  <c r="D126" i="23"/>
  <c r="D125" i="23"/>
  <c r="D124" i="23"/>
  <c r="D123" i="23"/>
  <c r="D122" i="23"/>
  <c r="D121" i="23"/>
  <c r="D118" i="23"/>
  <c r="D104" i="23"/>
  <c r="D102" i="23"/>
  <c r="D100" i="23"/>
  <c r="D97" i="23"/>
  <c r="D95" i="23"/>
  <c r="D92" i="23"/>
  <c r="D91" i="23"/>
  <c r="D90" i="23"/>
  <c r="D88" i="23"/>
  <c r="D87" i="23"/>
  <c r="D86" i="23"/>
  <c r="D84"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5" i="23"/>
  <c r="D33"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D4" i="23"/>
  <c r="D3" i="23"/>
  <c r="F2" i="23"/>
  <c r="G2" i="23" s="1"/>
  <c r="J15" i="15"/>
  <c r="H60" i="22"/>
</calcChain>
</file>

<file path=xl/sharedStrings.xml><?xml version="1.0" encoding="utf-8"?>
<sst xmlns="http://schemas.openxmlformats.org/spreadsheetml/2006/main" count="835" uniqueCount="632">
  <si>
    <t>Заявление-вопросник на страхование имущества</t>
  </si>
  <si>
    <t>1. Просим Вас заполнить ВСЕ обязательные графы (отмечены звездочкой *) настоящего заявления-вопросника. Неполное заполнение заявления дает право СПАО "Ингосстрах" не принять заявление Страхователя и воздержаться от предоставления страхового покрытия, а неотвеченные вопросы приравниваются к ответу с наихудшим значением для целей определения параметров и стоимости страховой защиты. 
2. Заявление-вопросник должно быть подписано руководителем или уполномоченным лицом Страхователя. 
3. Просим Вас подписать и скрепить печатью каждую страницу.</t>
  </si>
  <si>
    <t xml:space="preserve"> 1.1.</t>
  </si>
  <si>
    <t>Информация о Страхователе</t>
  </si>
  <si>
    <t>Наименование Страхователя:</t>
  </si>
  <si>
    <t>Юридический адрес:</t>
  </si>
  <si>
    <t>ИНН:</t>
  </si>
  <si>
    <t>Контактное лицо:</t>
  </si>
  <si>
    <t>Телефон:</t>
  </si>
  <si>
    <t>E-mail:</t>
  </si>
  <si>
    <t>Является способом взаимодействия со Страхователем.</t>
  </si>
  <si>
    <t xml:space="preserve"> 1.2. </t>
  </si>
  <si>
    <r>
      <rPr>
        <b/>
        <sz val="12"/>
        <color theme="4" tint="-0.249977111117893"/>
        <rFont val="Calibri"/>
        <charset val="204"/>
      </rPr>
      <t>Информация о Выгодоприобретателе</t>
    </r>
    <r>
      <rPr>
        <sz val="11"/>
        <color rgb="FF000000"/>
        <rFont val="Calibri"/>
        <charset val="204"/>
      </rPr>
      <t xml:space="preserve">
</t>
    </r>
    <r>
      <rPr>
        <i/>
        <sz val="10"/>
        <rFont val="Calibri"/>
        <charset val="204"/>
      </rPr>
      <t>Необходимо заполнить, если иное, чем Страхователь лицо.</t>
    </r>
  </si>
  <si>
    <t>Наименование Выгодоприобретателя:</t>
  </si>
  <si>
    <t>ООО Сторук Воронеж</t>
  </si>
  <si>
    <t>3665806928</t>
  </si>
  <si>
    <t>На основании договора (залога/иное):</t>
  </si>
  <si>
    <t>№ договора (залога/лизинга/иное):</t>
  </si>
  <si>
    <t>Действует с:     </t>
  </si>
  <si>
    <t>по:      </t>
  </si>
  <si>
    <t>Данные контактного лица (ФИО, должность, телефон/факс, e-mail):</t>
  </si>
  <si>
    <t xml:space="preserve"> 1.3.*</t>
  </si>
  <si>
    <t>Укажите необходимый период страхования</t>
  </si>
  <si>
    <t>с:</t>
  </si>
  <si>
    <t>по:</t>
  </si>
  <si>
    <t xml:space="preserve"> 1.4.*</t>
  </si>
  <si>
    <r>
      <rPr>
        <b/>
        <sz val="12"/>
        <color theme="4" tint="-0.249977111117893"/>
        <rFont val="Calibri"/>
        <charset val="204"/>
      </rPr>
      <t>Информация о территории страхования</t>
    </r>
    <r>
      <rPr>
        <sz val="11"/>
        <color rgb="FF000000"/>
        <rFont val="Calibri"/>
        <charset val="204"/>
      </rPr>
      <t xml:space="preserve">
</t>
    </r>
    <r>
      <rPr>
        <i/>
        <sz val="10"/>
        <rFont val="Calibri"/>
        <charset val="204"/>
      </rPr>
      <t>Место расположения объектов страхования. Точный адрес. Если необходимо, с указанием номера корпуса, офиса и т.д.</t>
    </r>
  </si>
  <si>
    <t>Страна:</t>
  </si>
  <si>
    <t>Индекс:</t>
  </si>
  <si>
    <t>Область/субъект:</t>
  </si>
  <si>
    <t>Район:</t>
  </si>
  <si>
    <t>Населенный пункт:</t>
  </si>
  <si>
    <t>Улица:</t>
  </si>
  <si>
    <t>Дом:</t>
  </si>
  <si>
    <t>Корпус:</t>
  </si>
  <si>
    <t>Строение:</t>
  </si>
  <si>
    <t>Дополнительно:</t>
  </si>
  <si>
    <t xml:space="preserve"> 2.</t>
  </si>
  <si>
    <t>Информация об объектах страхования, страховых суммах, страховых рисках</t>
  </si>
  <si>
    <t xml:space="preserve"> 2.1.*</t>
  </si>
  <si>
    <t>2.1.1. Выберите основное назначение заявляемого на страхование имущества:</t>
  </si>
  <si>
    <t>2.1.2. Выберите категорию:</t>
  </si>
  <si>
    <t xml:space="preserve"> 2.2.</t>
  </si>
  <si>
    <t>Дайте краткое описание имущества, заявляемого на страхование:</t>
  </si>
  <si>
    <t xml:space="preserve"> 2.3.*</t>
  </si>
  <si>
    <t>Укажите валюту, в которой выражена стоимость имущества:</t>
  </si>
  <si>
    <t xml:space="preserve"> 2.4.*</t>
  </si>
  <si>
    <t>Укажите, на базе какой стоимости установлена страховая сумма:</t>
  </si>
  <si>
    <t>Включен ли в страховую сумму НДС?</t>
  </si>
  <si>
    <t xml:space="preserve">
</t>
  </si>
  <si>
    <t xml:space="preserve"> 2.5.* </t>
  </si>
  <si>
    <r>
      <rPr>
        <i/>
        <sz val="10"/>
        <rFont val="Calibri"/>
        <charset val="204"/>
      </rPr>
      <t xml:space="preserve">Выберите и укажите только те объекты, которые необходимо застраховать, укажите их страховую сумму. 
По возможности, приложите к заявлению перечень заявляемого на страхование имущества. 
</t>
    </r>
    <r>
      <rPr>
        <b/>
        <i/>
        <sz val="10"/>
        <rFont val="Calibri"/>
        <charset val="204"/>
      </rPr>
      <t>Если выбрано страхование "по первому риску", укажите так же их страховую стоимость.</t>
    </r>
  </si>
  <si>
    <t>Вид объекта, заявляемого на страхование:</t>
  </si>
  <si>
    <t>Страховая сумма: *</t>
  </si>
  <si>
    <t>Страховая стоимость:</t>
  </si>
  <si>
    <t>Здание или часть здания (конструктивные элементы, внутренняя и внешняя отделка).</t>
  </si>
  <si>
    <r>
      <rPr>
        <sz val="10"/>
        <color rgb="FF000000"/>
        <rFont val="Calibri"/>
        <charset val="204"/>
      </rPr>
      <t xml:space="preserve">Здание или часть здания (конструктивные элементы, инженерные коммуникации), </t>
    </r>
    <r>
      <rPr>
        <b/>
        <u/>
        <sz val="10"/>
        <color rgb="FF000000"/>
        <rFont val="Calibri"/>
        <charset val="204"/>
      </rPr>
      <t>исключая отделку.</t>
    </r>
  </si>
  <si>
    <t>Внешняя отделка здания или части здания, исключая дополнительные надстройки и оборудование.</t>
  </si>
  <si>
    <t>Внутренняя отделка помещений.</t>
  </si>
  <si>
    <t>Внешние сооружения и результаты работ по благоустройству территории страхования (ограды, шлагбаумы, рекламные щиты и вывески и т.п.).</t>
  </si>
  <si>
    <t>Оконные стекла, витрины, стеклопакеты, стеклянные элементы входных групп, дверей (если страхуются отдельной суммой).</t>
  </si>
  <si>
    <t>Различное оборудование, не являющееся конструктивной частью здания, а именно: технологическое, офисное, электронное, электробытовое оборудование, включая дополнительно установленное Страхователем оборудование систем вентиляции и кондиционирования.</t>
  </si>
  <si>
    <t>Мебель, инструмент, инвентарь.</t>
  </si>
  <si>
    <r>
      <rPr>
        <sz val="10"/>
        <color rgb="FF000000"/>
        <rFont val="Calibri"/>
        <charset val="204"/>
      </rPr>
      <t xml:space="preserve">Товарные запасы готовой продукции (продовольственные и непродовольственные товары), запасы сырья и материалов. 
</t>
    </r>
    <r>
      <rPr>
        <i/>
        <sz val="10"/>
        <rFont val="Calibri"/>
        <charset val="204"/>
      </rPr>
      <t>Укажите категорию ТМЦ. Если несколько типов ТМЦ, укажите наибольшую по сумме.</t>
    </r>
  </si>
  <si>
    <t>Страховая сумма:</t>
  </si>
  <si>
    <t>Стоимость максимальных остатков ТМЦ:</t>
  </si>
  <si>
    <t>Дайте краткую характеристику/иную информацию по ТМЦ:</t>
  </si>
  <si>
    <t>Наличные деньги в кассовых аппаратах и сейфовых комнатах, за исключением наличных денег, хранящихся в банках и банкоматах.</t>
  </si>
  <si>
    <t>Для наличных денег не указывается.</t>
  </si>
  <si>
    <t>Иное (укажите):</t>
  </si>
  <si>
    <t>Справочно, страховая сумма итого:</t>
  </si>
  <si>
    <r>
      <rPr>
        <b/>
        <sz val="10"/>
        <rFont val="Calibri"/>
        <charset val="204"/>
      </rPr>
      <t xml:space="preserve">Страхование дополнительных расходов. </t>
    </r>
    <r>
      <rPr>
        <sz val="10"/>
        <rFont val="Calibri"/>
        <charset val="204"/>
      </rPr>
      <t xml:space="preserve">
</t>
    </r>
    <r>
      <rPr>
        <i/>
        <sz val="10"/>
        <rFont val="Calibri"/>
        <charset val="204"/>
      </rPr>
      <t>При необходимости укажите требуемый лимит возмещения.</t>
    </r>
  </si>
  <si>
    <t>Вид дополнительных расходов:</t>
  </si>
  <si>
    <t>Лимит возмещения:</t>
  </si>
  <si>
    <t>Расходы на расчистку (удаление обломков и вывоз мусора, демонтаж или снос части, или частей застрахованного имущества, которые были утрачены или повреждены в результате страхового случая)</t>
  </si>
  <si>
    <t>Расходы на защиту, сохранение и обеспечение безопасности (расходы на ограждение, укрепление и охрану застрахованного имущества)</t>
  </si>
  <si>
    <t>Расходы на ускоренное восстановление (расходы на оплату сверхурочных работ, работ в ночное время, в официальные праздники и выходные дни, оплату срочной доставки грузов (включая доставку воздушным транспортом))</t>
  </si>
  <si>
    <t>Расходы на урегулирование страхового случая (расходы на проведение экспертизы с целью установления причин, обстоятельств и/или размера убытков, привлекаемых сюрвейеров, лосс-аджастеров, других экспертов по урегулированию убытков)</t>
  </si>
  <si>
    <t>Расходы на экспертов (расходы на оплату услуг архитекторов, проектировщиков, аудиторов, инженеров и иных экспертов (специалистов)).</t>
  </si>
  <si>
    <t>Расходы, связанные с изменением норм и правил (расходы на приведение пострадавшего застрахованного имущества в соответствие с действующими новым строительным нормам и правилам, расходы по адаптации неповреждённой части застрахованного имущества для обеспечения возможности дальнейшего её использования с той частью застрахованного имущества, которая должна восстановлена)</t>
  </si>
  <si>
    <t>Расходы на восстановление документации (планов, чертежей, договоров, бухгалтерских записей и утраченных или поврежденных электронных данных при условии наличия их дубликатов)</t>
  </si>
  <si>
    <t>Расходы на временный переезд на период восстановительных работ: (расходы по вывозу (перемещению) имущества из поврежденного строения; расходы, связанные с передачей имущества на временное хранение; расходы на оборудование временно занимаемых помещений и арендную плату за их использование)</t>
  </si>
  <si>
    <t>Иные расходы (укажите):</t>
  </si>
  <si>
    <t xml:space="preserve"> 2.6.*</t>
  </si>
  <si>
    <t>Выберите необходимый объем страхового покрытия:</t>
  </si>
  <si>
    <t xml:space="preserve">  или</t>
  </si>
  <si>
    <t>Дополнительные риски:</t>
  </si>
  <si>
    <t xml:space="preserve"> 3.</t>
  </si>
  <si>
    <t>Информация о характеристиках и рискозащищенности объектов страхования</t>
  </si>
  <si>
    <t xml:space="preserve"> 3.1.</t>
  </si>
  <si>
    <t>Функциональное назначение здания:</t>
  </si>
  <si>
    <t>Занимаемый этаж:</t>
  </si>
  <si>
    <t>1-2</t>
  </si>
  <si>
    <t>Помещение в собственности или арендуемое?</t>
  </si>
  <si>
    <t>Год постройки или последнего капитального ремонта:</t>
  </si>
  <si>
    <t>Общая площадь здания (кв.м):</t>
  </si>
  <si>
    <t>Занимаемая площадь (кв.м):</t>
  </si>
  <si>
    <t>Здание: отдельностоящее или примыкающее?</t>
  </si>
  <si>
    <r>
      <rPr>
        <sz val="10"/>
        <color rgb="FF000000"/>
        <rFont val="Calibri"/>
        <charset val="204"/>
      </rPr>
      <t xml:space="preserve">Окончены ли строительные/ремонтные/отделочные работы? 
</t>
    </r>
    <r>
      <rPr>
        <i/>
        <sz val="10"/>
        <rFont val="Calibri"/>
        <charset val="204"/>
      </rPr>
      <t>Если ведутся, то укажите строящиеся объекты и/или помещения.</t>
    </r>
  </si>
  <si>
    <r>
      <rPr>
        <sz val="10"/>
        <color rgb="FF000000"/>
        <rFont val="Calibri"/>
        <charset val="204"/>
      </rPr>
      <t xml:space="preserve">Применяются ли при осуществлении деятельности предприятия огне- и/или взрывоопасные вещества, материалы, технологии? 
</t>
    </r>
    <r>
      <rPr>
        <i/>
        <sz val="10"/>
        <rFont val="Calibri"/>
        <charset val="204"/>
      </rPr>
      <t>Если применяются, то укажите краткую характеристику.</t>
    </r>
  </si>
  <si>
    <t>Есть ли в здании баня/сауна?</t>
  </si>
  <si>
    <t>Укажите материалы основных элементов здания. *</t>
  </si>
  <si>
    <t>Стены 
(капитальные, несущие):</t>
  </si>
  <si>
    <t>Перекрытия 
(несущие конструкции):</t>
  </si>
  <si>
    <t>Кровля (крыша):</t>
  </si>
  <si>
    <t xml:space="preserve">Наличие в здании котельной: </t>
  </si>
  <si>
    <t>На территории страхования используется газ?</t>
  </si>
  <si>
    <t xml:space="preserve"> 3.2.</t>
  </si>
  <si>
    <t>Системы и средства пожарной защиты и охраны. *</t>
  </si>
  <si>
    <t>Наличие исправной автоматической системы пожарной сигнализации:</t>
  </si>
  <si>
    <t>Процент охвата помещений извещателями:</t>
  </si>
  <si>
    <t>Установлены ли работающие системы автоматического пожаротушения?</t>
  </si>
  <si>
    <t>Заключен ли договор на обслуживание системы пожаротушения?</t>
  </si>
  <si>
    <t>Оснащено ли здание огнетушителями в соответствии с нормами?</t>
  </si>
  <si>
    <r>
      <rPr>
        <sz val="10"/>
        <color rgb="FF000000"/>
        <rFont val="Calibri"/>
        <charset val="204"/>
      </rPr>
      <t xml:space="preserve">Имеет ли предприятие действующие предписания со стороны органов пожарного надзора?
</t>
    </r>
    <r>
      <rPr>
        <i/>
        <sz val="10"/>
        <rFont val="Calibri"/>
        <charset val="204"/>
      </rPr>
      <t>Если есть, предоставьте копию предписаний.</t>
    </r>
  </si>
  <si>
    <t>Установлена ли исправная охранная сигнализация?</t>
  </si>
  <si>
    <t>Средства пассивной защиты.</t>
  </si>
  <si>
    <t>Имущество расположено:</t>
  </si>
  <si>
    <t>Решетки/жалюзи на окнах:</t>
  </si>
  <si>
    <t>Наличие сплошного ограждения территории (забора):</t>
  </si>
  <si>
    <t>Круглосуточная физическая охрана объектов:</t>
  </si>
  <si>
    <t xml:space="preserve">Укажите количество охранников в смену (если есть): </t>
  </si>
  <si>
    <t xml:space="preserve">Материальная ответственность охраны: </t>
  </si>
  <si>
    <t>Наличие видеокамер по периметру здания/закрытого периметра:</t>
  </si>
  <si>
    <t xml:space="preserve"> 4.</t>
  </si>
  <si>
    <r>
      <rPr>
        <b/>
        <sz val="12"/>
        <color theme="4" tint="-0.249977111117893"/>
        <rFont val="Calibri"/>
        <charset val="204"/>
      </rPr>
      <t>Информация о повреждении имущества за последние 5 лет</t>
    </r>
    <r>
      <rPr>
        <sz val="11"/>
        <color rgb="FF000000"/>
        <rFont val="Calibri"/>
        <charset val="204"/>
      </rPr>
      <t xml:space="preserve">
</t>
    </r>
    <r>
      <rPr>
        <i/>
        <sz val="10"/>
        <color rgb="FF000000"/>
        <rFont val="Calibri"/>
        <charset val="204"/>
      </rPr>
      <t>Просим указать все случаи повреждения имущества (убытки) за последние 5 лет. В случае, если количество убытков превышает количество строк в данном разделе заявления-вопросника, просим приложить информацию об убытках на дополнительном листе.</t>
    </r>
  </si>
  <si>
    <t>Дата убытка:</t>
  </si>
  <si>
    <t>Характер убытка:</t>
  </si>
  <si>
    <t>Сумма ущерба, рублей:</t>
  </si>
  <si>
    <t>Просим Вас сообщить дополнительную информацию, которую Вы считаете необходимым указать, и которая не нашла своего отражения выше:</t>
  </si>
  <si>
    <t xml:space="preserve">Подписывая настоящее заявление – вопросник, Страхователь подтверждает достоверность и правдивость указанных в нем сведений. </t>
  </si>
  <si>
    <t>При заключении договора страхования, Страховщик полагается на заверения, данные Страхователем в Заявлении-вопроснике или в ответах на письменные запросы Страховщика. В случае, если будет установлено, что заверения Страхователя не соответствуют действительности, Страховщик вправе применить последствия, предусмотренные ст. 431.2, 944 ГК РФ.
При заключении договора страхования Страхователь (Выгодоприобретатель) должен уведомить Страховщика об известных ему дефектах и недостатках передаваемого на страхование имущества.
Не является страховым случаем возникновение ущерба (убытка) вследствие дефектов и недостатков застрахованного имущества, уже имевшихся на дату заключения договора страхования, о которых Страховщик не был уведомлен Страхователем при заключении договора страхования.</t>
  </si>
  <si>
    <t>При необходимости страхования объектов и/или рисков, указанных ниже, просьба  отметить их и заполнить дополнительную информацию.</t>
  </si>
  <si>
    <t>При выборе пунктов ниже, заполните дополнительные листы с заявлением:</t>
  </si>
  <si>
    <r>
      <rPr>
        <sz val="10"/>
        <color rgb="FF000000"/>
        <rFont val="Calibri"/>
        <charset val="204"/>
      </rPr>
      <t xml:space="preserve">    •   </t>
    </r>
    <r>
      <rPr>
        <b/>
        <sz val="10"/>
        <color rgb="FF000000"/>
        <rFont val="Calibri"/>
        <charset val="204"/>
      </rPr>
      <t>MB</t>
    </r>
    <r>
      <rPr>
        <sz val="10"/>
        <color rgb="FF000000"/>
        <rFont val="Calibri"/>
        <charset val="204"/>
      </rPr>
      <t xml:space="preserve"> - Поломки машин и оборудования.</t>
    </r>
  </si>
  <si>
    <r>
      <rPr>
        <sz val="10"/>
        <rFont val="Calibri"/>
        <charset val="204"/>
      </rPr>
      <t xml:space="preserve">    •   </t>
    </r>
    <r>
      <rPr>
        <b/>
        <sz val="10"/>
        <rFont val="Calibri"/>
        <charset val="204"/>
      </rPr>
      <t>BI</t>
    </r>
    <r>
      <rPr>
        <sz val="10"/>
        <rFont val="Calibri"/>
        <charset val="204"/>
      </rPr>
      <t xml:space="preserve"> - Убытки от перерыва в производственной (коммерческой) деятельности.</t>
    </r>
  </si>
  <si>
    <r>
      <rPr>
        <sz val="10"/>
        <color rgb="FF000000"/>
        <rFont val="Calibri"/>
        <charset val="204"/>
      </rPr>
      <t xml:space="preserve">    •   </t>
    </r>
    <r>
      <rPr>
        <b/>
        <sz val="10"/>
        <color rgb="FF000000"/>
        <rFont val="Calibri"/>
        <charset val="204"/>
      </rPr>
      <t>EE</t>
    </r>
    <r>
      <rPr>
        <sz val="10"/>
        <color rgb="FF000000"/>
        <rFont val="Calibri"/>
        <charset val="204"/>
      </rPr>
      <t xml:space="preserve"> - Электрические поломки оборудования.</t>
    </r>
  </si>
  <si>
    <r>
      <rPr>
        <sz val="10"/>
        <color rgb="FF000000"/>
        <rFont val="Calibri"/>
        <charset val="204"/>
      </rPr>
      <t xml:space="preserve">    •   </t>
    </r>
    <r>
      <rPr>
        <b/>
        <sz val="10"/>
        <color rgb="FF000000"/>
        <rFont val="Calibri"/>
        <charset val="204"/>
      </rPr>
      <t>Авто</t>
    </r>
    <r>
      <rPr>
        <sz val="10"/>
        <color rgb="FF000000"/>
        <rFont val="Calibri"/>
        <charset val="204"/>
      </rPr>
      <t xml:space="preserve"> - Автомобили на стоянках, в помещениях автосервисов и автодилеров.</t>
    </r>
  </si>
  <si>
    <r>
      <rPr>
        <sz val="10"/>
        <rFont val="Calibri"/>
        <charset val="204"/>
      </rPr>
      <t xml:space="preserve">    •   </t>
    </r>
    <r>
      <rPr>
        <b/>
        <sz val="10"/>
        <rFont val="Calibri"/>
        <charset val="204"/>
      </rPr>
      <t>ТМЦ в холодильнике</t>
    </r>
    <r>
      <rPr>
        <sz val="10"/>
        <rFont val="Calibri"/>
        <charset val="204"/>
      </rPr>
      <t xml:space="preserve"> - Страхование имущества от несоблюдения (нарушения) температурного режима.</t>
    </r>
  </si>
  <si>
    <r>
      <rPr>
        <sz val="10"/>
        <color rgb="FF000000"/>
        <rFont val="Calibri"/>
        <charset val="204"/>
      </rPr>
      <t xml:space="preserve">    •   </t>
    </r>
    <r>
      <rPr>
        <b/>
        <sz val="10"/>
        <color rgb="FF000000"/>
        <rFont val="Calibri"/>
        <charset val="204"/>
      </rPr>
      <t>Ювелирные изделия</t>
    </r>
    <r>
      <rPr>
        <sz val="10"/>
        <color rgb="FF000000"/>
        <rFont val="Calibri"/>
        <charset val="204"/>
      </rPr>
      <t xml:space="preserve"> - Ювелирные изделия, драгоценные камни и металлы, меха.</t>
    </r>
  </si>
  <si>
    <t>Дополнительное заявление на страхование 
"Поломки машин и оборудования"</t>
  </si>
  <si>
    <t xml:space="preserve"> 1. </t>
  </si>
  <si>
    <r>
      <rPr>
        <sz val="10"/>
        <color rgb="FF000000"/>
        <rFont val="Calibri"/>
        <charset val="204"/>
        <scheme val="minor"/>
      </rPr>
      <t xml:space="preserve">Укажите общую страховую сумму заявляемых на страхование от поломок машин и оборудования.
</t>
    </r>
    <r>
      <rPr>
        <i/>
        <sz val="10"/>
        <color rgb="FF000000"/>
        <rFont val="Calibri"/>
        <charset val="204"/>
        <scheme val="minor"/>
      </rPr>
      <t>Если на основном листе было выбрано страхование "по первому риску", укажите так же общую страховую стоимость.</t>
    </r>
  </si>
  <si>
    <t>Выберите необходимый объем страхового покрытия: *</t>
  </si>
  <si>
    <t>Приложите к заявлению перечень заявляемых на страхование машин и оборудования по форме, приведенной ниже.</t>
  </si>
  <si>
    <t>№ п/п</t>
  </si>
  <si>
    <t>Наименование объекта, 
заявляемого на страхование:</t>
  </si>
  <si>
    <t>Год выпуска:</t>
  </si>
  <si>
    <t>Страховая 
сумма:</t>
  </si>
  <si>
    <t>Страховая 
стоимость:</t>
  </si>
  <si>
    <t>…</t>
  </si>
  <si>
    <t>Дополнительное заявление на страхование 
"Убытки от перерыва в производственной (комерческой) деятельности"</t>
  </si>
  <si>
    <t xml:space="preserve"> 1.</t>
  </si>
  <si>
    <t>Укажите необходимый период (в месяцах) возмещения:</t>
  </si>
  <si>
    <t>Объекты страхования/статьи расходов:</t>
  </si>
  <si>
    <t>Заработная плата рабочих и служащих Страхователя</t>
  </si>
  <si>
    <t>Платежи органам социального страхования и аналогичные им платежи</t>
  </si>
  <si>
    <t>Плата за аренду помещений, оборудования или иного арендуемого имущества</t>
  </si>
  <si>
    <t>Налоги и сборы, подлежащие оплате вне зависимости от оборота и результатов хозяйственной деятельности</t>
  </si>
  <si>
    <t>Проценты по кредитам или иным привлеченным средствам</t>
  </si>
  <si>
    <t>Амортизационные отчисления по нормам, установленным для предприятия Страхователя</t>
  </si>
  <si>
    <t>Сумма чистой прибыли (прибыли после налогообложения)</t>
  </si>
  <si>
    <t>Сумма поступлений арендных платежей (платежей от сдачи в аренду помещений)</t>
  </si>
  <si>
    <t>Свой вариант 1 (указать наименование)</t>
  </si>
  <si>
    <t>Свой вариант 2 (указать наименование)</t>
  </si>
  <si>
    <t>Расширения страхового покрытия (CBI):</t>
  </si>
  <si>
    <t>Дополнительное заявление на страхование 
"Электрические поломки оборудования"</t>
  </si>
  <si>
    <r>
      <rPr>
        <sz val="10"/>
        <color rgb="FF000000"/>
        <rFont val="Calibri"/>
        <charset val="204"/>
      </rPr>
      <t xml:space="preserve">Укажите общую страховую сумму заявляемого на страхование от электрических поломок оборудования.
</t>
    </r>
    <r>
      <rPr>
        <i/>
        <sz val="10"/>
        <color rgb="FF000000"/>
        <rFont val="Calibri"/>
        <charset val="204"/>
      </rPr>
      <t>Если на основном листе было выбрано страхование "по первому риску", укажите так же общую страховую стоимость.</t>
    </r>
  </si>
  <si>
    <t>Приложите к заявлению перечень заявляемого на страхование оборудования по форме, приведенной ниже.</t>
  </si>
  <si>
    <t>Дополнительное заявление на страхование 
"Автомобили на стоянках, в помещениях автосервисов и автодилеров"</t>
  </si>
  <si>
    <t xml:space="preserve">   1.1. Где и как хранятся документы на машины?</t>
  </si>
  <si>
    <t xml:space="preserve">   1.2. Где и как хранятся ключи на машины?</t>
  </si>
  <si>
    <t xml:space="preserve">   1.3. Сколько бензина залито (л)?</t>
  </si>
  <si>
    <t>При наличии открытой стоянки.</t>
  </si>
  <si>
    <t xml:space="preserve">   2.1. Количество въездов/выездов:</t>
  </si>
  <si>
    <t xml:space="preserve">   2.2. Высота ограждения (м):</t>
  </si>
  <si>
    <t xml:space="preserve">   2.3. Порядок въезда и выезда:</t>
  </si>
  <si>
    <t xml:space="preserve">   2.4. Эксплуатация стоянки только страхователем или нет?</t>
  </si>
  <si>
    <t xml:space="preserve">   2.5. Наличие видеокамер, контролирующих свыше 80% территории:</t>
  </si>
  <si>
    <t xml:space="preserve">   2.6. Наличие сторожевых собак:</t>
  </si>
  <si>
    <t xml:space="preserve">   2.7. Обход территории:</t>
  </si>
  <si>
    <t xml:space="preserve">   2.8. Находятся ли автомобиле в прямой видимости охраны?</t>
  </si>
  <si>
    <t>Дополнительное заявление на страхование 
"Страхование имущества от несоблюдения (нарушения) температурного режима"</t>
  </si>
  <si>
    <t xml:space="preserve"> 2. </t>
  </si>
  <si>
    <t>Характеристика холодильного сооружения.</t>
  </si>
  <si>
    <t xml:space="preserve">   2.1. Количество независимых холодильных контуров:</t>
  </si>
  <si>
    <t xml:space="preserve">   2.2. Количество холодильных камер (отсеков):</t>
  </si>
  <si>
    <t xml:space="preserve">   2.3. Объем морозильных камер (кв.м):</t>
  </si>
  <si>
    <t xml:space="preserve">   2.4. Общая площадь холодильных камер (куб.м):</t>
  </si>
  <si>
    <t xml:space="preserve">   2.5. Высота (м):</t>
  </si>
  <si>
    <t xml:space="preserve">   2.6. Температура в камерах:</t>
  </si>
  <si>
    <t xml:space="preserve">   2.7. Содержание СО2 (%):</t>
  </si>
  <si>
    <t xml:space="preserve">   2.8. Содержание О2 (%):</t>
  </si>
  <si>
    <t xml:space="preserve">   2.9. Относительная влажность воздуха (%):</t>
  </si>
  <si>
    <t xml:space="preserve">   2.10. Давление воздуха (атм):</t>
  </si>
  <si>
    <t xml:space="preserve">   2.11. Наличие резервных источников электроэнергии:</t>
  </si>
  <si>
    <t xml:space="preserve">   2.12. Количество электрических вводов на предприятие (в здание):</t>
  </si>
  <si>
    <t xml:space="preserve">   2.13. Тип холодильного агента:</t>
  </si>
  <si>
    <t xml:space="preserve">   2.14. Тип изоляционного материала:</t>
  </si>
  <si>
    <t xml:space="preserve">   2.15. Дата последней контрольной проверки изоляции:</t>
  </si>
  <si>
    <t xml:space="preserve">   2.16. Дата последней замены изоляции:</t>
  </si>
  <si>
    <t>Характеристика холодильной установки.</t>
  </si>
  <si>
    <t xml:space="preserve">   3.1. Дата ввода в эксплуатацию:</t>
  </si>
  <si>
    <t xml:space="preserve">   3.2. Укажите, кто осуществляет технадзор:</t>
  </si>
  <si>
    <t xml:space="preserve">   3.3. Инспекции проводятся с нормативной периодичностью?</t>
  </si>
  <si>
    <t xml:space="preserve">   3.4. Текущий ремонт проводится с нормативной периодичностью?</t>
  </si>
  <si>
    <t xml:space="preserve">   3.5. Кто проводит текущий ремонт?</t>
  </si>
  <si>
    <t xml:space="preserve">   3.6. Данная холодильная установка является собственностью?</t>
  </si>
  <si>
    <t xml:space="preserve">   3.7. Период времени в соответствии с технической документацией, в течение которого холодильная установка может сохранять заданный температурный режим при отключении электропитания или ее непредвиденной поломке, в часах:</t>
  </si>
  <si>
    <t>Характеристика систем контроля и сигнализации.</t>
  </si>
  <si>
    <t xml:space="preserve">   4.1. Число и тип датчиков (температуры, влажности, СО2, СО, давления) в каждой камере:</t>
  </si>
  <si>
    <t xml:space="preserve">   4.2. Интервалы контроля, в часах:</t>
  </si>
  <si>
    <t xml:space="preserve">   4.3. Имеются ли сигнализаторы?</t>
  </si>
  <si>
    <t xml:space="preserve"> 5.</t>
  </si>
  <si>
    <t>Резервные холодильные сооружения (наличие, адрес, какой % товара может быть перемещен).</t>
  </si>
  <si>
    <t xml:space="preserve">   5.1. Наличие:</t>
  </si>
  <si>
    <t xml:space="preserve">   5.2. Адрес:</t>
  </si>
  <si>
    <t xml:space="preserve">   5.3. Какой % товара может быть перемещен?</t>
  </si>
  <si>
    <t>Дополнительное заявление на страхование 
"Ювелирные изделия, драгоценные камни и металлы, меха"</t>
  </si>
  <si>
    <t xml:space="preserve">   1.1. Максимальная стоимость единицы ювелирных изделий, драгоценных камней и металлов (в рублях), мехов (если более 300 т.р. – приложить документы):</t>
  </si>
  <si>
    <t xml:space="preserve">   1.2. При наличии ЧОПа – указать реквизиты и приложить копию договора охраны:</t>
  </si>
  <si>
    <t xml:space="preserve">   1.3. Наличие исправной автоматической охранной сигнализации с выводом на пульт охраны (МВД, ЧОП и т.п.):</t>
  </si>
  <si>
    <t xml:space="preserve">   1.4. Наличие датчиков на все стекла и двери, а также на движение внутри помещения:</t>
  </si>
  <si>
    <t xml:space="preserve">   1.5. Остекление торговых витрин противоударное и без свободного доступа к изделиям со стороны покупателей и третьих лиц?</t>
  </si>
  <si>
    <t xml:space="preserve">   1.6. Площадь (объем) помещений, контролируемая извещателями:</t>
  </si>
  <si>
    <t xml:space="preserve">   1.7. Дверные проёмы, люки, ворота блокируются на «открывание» и «пролом»?</t>
  </si>
  <si>
    <t xml:space="preserve">   1.8. Остекленные конструкции блокируются на «открывание» и разрушение стекла?</t>
  </si>
  <si>
    <t xml:space="preserve">   1.9. Металлические двери, ворота блокируются на «открывание» и ударное воздействие?</t>
  </si>
  <si>
    <t xml:space="preserve">   1.10. Некапитальные стены, потолки и места ввода коммуникаций блокируются на «пролом»?</t>
  </si>
  <si>
    <t xml:space="preserve">   1.11. Капитальные стены, вентиляционные короба блокируются на разрушение и удар. Воздействие?</t>
  </si>
  <si>
    <t xml:space="preserve">   1.12. При отключении сетевого электропитания работоспособность ПКП (приемно-контрольный прибор) и извещателей обеспечена автономным питанием на 8 часов?</t>
  </si>
  <si>
    <t xml:space="preserve">   1.13. Во внерабочее время ценности убираются в сейф в сейфовую комнату?</t>
  </si>
  <si>
    <t xml:space="preserve">   1.14. Сейф надежно закреплен к конструкциям здания?</t>
  </si>
  <si>
    <t xml:space="preserve">   1.15. Сейф/сейфовая комната соответствует классу устойчивости к взлому не ниже 2?</t>
  </si>
  <si>
    <t>Номер</t>
  </si>
  <si>
    <t>Отрасль</t>
  </si>
  <si>
    <t>Суботрасль</t>
  </si>
  <si>
    <t>Авто-мотосалоны, авто-мотосервисы, автоломбарды и автодилеры</t>
  </si>
  <si>
    <t>Автозапчасти, автомобили, машиностроение</t>
  </si>
  <si>
    <t xml:space="preserve">Текстильная промышленность, производство одежды, обуви </t>
  </si>
  <si>
    <t>АЗС, ГАЗС, электрические заправки</t>
  </si>
  <si>
    <t>Алкогольная продукция</t>
  </si>
  <si>
    <t>2.1.</t>
  </si>
  <si>
    <t>Лесная, деревообрабатывающая и целлюлозно-бумажная промышленность</t>
  </si>
  <si>
    <t xml:space="preserve">Заготовка и обработка древесины </t>
  </si>
  <si>
    <t>Горно-металлургические предприятия</t>
  </si>
  <si>
    <t>Аудио-, видеотехника, электромузыкальные инструменты, оргтехника и т.п., за исключением мобильных устройств, средств связи, фото и киноаппаратуры, оптики, часов</t>
  </si>
  <si>
    <t>2.2.</t>
  </si>
  <si>
    <t>Производство изделий из древесины</t>
  </si>
  <si>
    <t>Гостиницы, дома отдыха, туристические базы</t>
  </si>
  <si>
    <t>Безалкогольные напитки</t>
  </si>
  <si>
    <t>2.3.</t>
  </si>
  <si>
    <t>Целлюлозно-бумажные комбинаты</t>
  </si>
  <si>
    <t>Добыча полезных ископаемых (кроме нефти, газа)</t>
  </si>
  <si>
    <t>Бытовая химия (стиральные порошки, чистящие и моющие средства, удобрения, химикаты и т.п.)</t>
  </si>
  <si>
    <t>3.1.</t>
  </si>
  <si>
    <t>Производство строительных материалов</t>
  </si>
  <si>
    <t>Производство цемента</t>
  </si>
  <si>
    <t>Жилая недвижимость, ТСЖ</t>
  </si>
  <si>
    <t>Взрывчатые и легковоспламеняющиеся жидкие вещества</t>
  </si>
  <si>
    <t>3.2.</t>
  </si>
  <si>
    <t>Производство стекла</t>
  </si>
  <si>
    <t>Жилищно-коммунальное хозяйство</t>
  </si>
  <si>
    <t>Галантерея (металлическая, пластмассовая и кожгалантерея, бижутерия, швейная фурнитура и т.п.)</t>
  </si>
  <si>
    <t>3.3.</t>
  </si>
  <si>
    <t>Производство кирпича, плитки, огнеупоров</t>
  </si>
  <si>
    <t>Имущество, не входящее в указанные группы</t>
  </si>
  <si>
    <t>3.4.</t>
  </si>
  <si>
    <t>Производство асфальта, битума</t>
  </si>
  <si>
    <t>Машиностроение и приборостроение</t>
  </si>
  <si>
    <t>Книги, журналы, другая полиграфическая продукция</t>
  </si>
  <si>
    <t>3.5.</t>
  </si>
  <si>
    <t>Производство прочих стройматериалов</t>
  </si>
  <si>
    <t>Медицинские учреждения (больницы, поликлиники, санатории)</t>
  </si>
  <si>
    <t>Мебель</t>
  </si>
  <si>
    <t>4.1.</t>
  </si>
  <si>
    <t>Добыча открытым способом (карьеры, разрезы) полезных ископаемых, минералов и сырья</t>
  </si>
  <si>
    <t>Научно-исследовательские лаборатории и т.п.</t>
  </si>
  <si>
    <t>Металлопрокат и прочая продукция металлургических заводов и комбинатов</t>
  </si>
  <si>
    <t>4.2.</t>
  </si>
  <si>
    <t xml:space="preserve">Добыча закрытым способом (шахты, рудники) полезных ископаемых, минералов и сырья, кроме угля </t>
  </si>
  <si>
    <t>Нефтяная/газовая промышленность</t>
  </si>
  <si>
    <t>Мобильные устройства (сотовые телефоны и т.п.), средства связи (телефонные аппараты, автоответчики, факсы и т.п.)</t>
  </si>
  <si>
    <t>4.3.</t>
  </si>
  <si>
    <t>Добыча угля закрытым способом (шахты, рудники)</t>
  </si>
  <si>
    <t>Объекты культуры, искусства, развлечений</t>
  </si>
  <si>
    <t>Нефасованный чай, кофе (категория выбирается в том случае, если доля нефасованного чая или кофе составляет более 50% от общей страховой суммы ТМЦ по территории страхования)</t>
  </si>
  <si>
    <t>5.1.</t>
  </si>
  <si>
    <t>Металлургические комбинаты и заводы</t>
  </si>
  <si>
    <t>Объекты образования</t>
  </si>
  <si>
    <t>Одежда, головные уборы из натуральной кожи и натурального меха</t>
  </si>
  <si>
    <t>5.2.</t>
  </si>
  <si>
    <t>Горно-обогатительные комбинаты (ГОК)</t>
  </si>
  <si>
    <t>Операторы наружной рекламы</t>
  </si>
  <si>
    <t>Одежда, головные уборы, кроме изделий из натуральной кожи и натурального меха</t>
  </si>
  <si>
    <t>5.3.</t>
  </si>
  <si>
    <t>Вертикально-интегрированные металлургические компании</t>
  </si>
  <si>
    <t>Офисная недвижимость, адм. здания</t>
  </si>
  <si>
    <t>Пиротехнические изделия</t>
  </si>
  <si>
    <t>6.1.</t>
  </si>
  <si>
    <t xml:space="preserve">Машиностроение </t>
  </si>
  <si>
    <t>Пищевая промышленность</t>
  </si>
  <si>
    <t>Предметы искусства, антиквариат, коллекции марок, монет, денежных знаков, бонов и другие коллекции, а также рисунки, картины, скульптуры и другие произведения искусства</t>
  </si>
  <si>
    <t>6.2.</t>
  </si>
  <si>
    <t>Приборостроение (в т.ч. полупроводников, компьютеров, вычислительной техники, точной механики)</t>
  </si>
  <si>
    <t>Продукты питания, фрукты, овощи</t>
  </si>
  <si>
    <t>7.1.</t>
  </si>
  <si>
    <t>Добыча нефти/газа (буровое оборудование и инфраструктура месторождений)</t>
  </si>
  <si>
    <t xml:space="preserve">Прочие непромышленные объекты (обязательно указание) </t>
  </si>
  <si>
    <t>Спортинвентарь</t>
  </si>
  <si>
    <t>7.2.</t>
  </si>
  <si>
    <t>Переработка нефти/газа (НПЗ, ГПЗ)</t>
  </si>
  <si>
    <t>Прочие промышленные предприятия (обязательно указание)</t>
  </si>
  <si>
    <t>Строительные и отделочные материалы (горючие)</t>
  </si>
  <si>
    <t>7.3.</t>
  </si>
  <si>
    <t>Транспортировка нефти/газа (трубопроводы)</t>
  </si>
  <si>
    <t>Рестораны, кафе, бары, предприятия общественного питания</t>
  </si>
  <si>
    <t>Строительные и отделочные материалы (негорючие)</t>
  </si>
  <si>
    <t>8.1.</t>
  </si>
  <si>
    <t>Химическая и нефтехимическая промышленность</t>
  </si>
  <si>
    <t>Нефтехимические предприятия (оргсинтез)</t>
  </si>
  <si>
    <t>Складская деятельность, логистика</t>
  </si>
  <si>
    <t>Сырье и материалы на промышленных предприятиях (горючие)</t>
  </si>
  <si>
    <t>8.2.</t>
  </si>
  <si>
    <t>Полимеры, эластомеры, неорганическая химия</t>
  </si>
  <si>
    <t>Социально-бытовое обслуживание населения</t>
  </si>
  <si>
    <t>Сырье и материалы на промышленных предприятиях (негорючие)</t>
  </si>
  <si>
    <t>8.3.</t>
  </si>
  <si>
    <t>Агрохимические предприятия (производство удобрений)</t>
  </si>
  <si>
    <t>Спортивные и оздоровительные объекты</t>
  </si>
  <si>
    <t>Текстильные изделия (ткани, постельные принадлежности, ковры и т.п.), кроме изделий ручной работы и одежды</t>
  </si>
  <si>
    <t>8.4.</t>
  </si>
  <si>
    <t>Фармацевтическая, парфюмерная и косметическая промышленность</t>
  </si>
  <si>
    <t>Товары для животных</t>
  </si>
  <si>
    <t>9.1.</t>
  </si>
  <si>
    <t>Электроэнергетика</t>
  </si>
  <si>
    <t>Гидроэлектростанции (ГЭС)</t>
  </si>
  <si>
    <t>Торговля, торговая и торгово-развлекательная недвижимость</t>
  </si>
  <si>
    <t>Фармацевтическая продукция и материалы</t>
  </si>
  <si>
    <t>9.2.</t>
  </si>
  <si>
    <t>Тепловые электростанции (ТЭЦ, ТЭС, ГРЭС)</t>
  </si>
  <si>
    <t>Транспортная инфраструктура</t>
  </si>
  <si>
    <t>Хозяйственно-бытовые товары: посуда, садово-огородный инвентарь, инструменты</t>
  </si>
  <si>
    <t>9.3.</t>
  </si>
  <si>
    <t>Атомные электростанции (АЭС)</t>
  </si>
  <si>
    <t>Ювелирные изделия</t>
  </si>
  <si>
    <t>9.4.</t>
  </si>
  <si>
    <t>Передача (распределение) электроэнергии (электрические сети, подстанции)</t>
  </si>
  <si>
    <t>Хранение и обработка информации, ЦОД, телекоммуникации и связь </t>
  </si>
  <si>
    <t>9.5.</t>
  </si>
  <si>
    <t>Возобновляемая энергетика (солнечные, ветровые, приливные, геотермальные и т.п. электростанции)</t>
  </si>
  <si>
    <t>10.1.</t>
  </si>
  <si>
    <t>Производство продуктов питания, безалкогольных напитков</t>
  </si>
  <si>
    <t>10.2.</t>
  </si>
  <si>
    <t>Производство сахара</t>
  </si>
  <si>
    <t>10.3.</t>
  </si>
  <si>
    <t>Масло-жировые комбинаты</t>
  </si>
  <si>
    <t>10.4.</t>
  </si>
  <si>
    <t>Производство алкогольных напитков</t>
  </si>
  <si>
    <t>1.1.</t>
  </si>
  <si>
    <t>Коммерческого назначения</t>
  </si>
  <si>
    <t>1.2.</t>
  </si>
  <si>
    <t>Для государственных нужд</t>
  </si>
  <si>
    <t>Многофункциональная торговая недвижимость</t>
  </si>
  <si>
    <t>Предприятия торговли  (за исключением антикварных салонов и ломбардов)</t>
  </si>
  <si>
    <t>Ломбарды, аукционные дома, антикварные салоны</t>
  </si>
  <si>
    <t>Стадионы, бассейны, фитнес-клубы, спортзалы</t>
  </si>
  <si>
    <t>Горнолыжные курорты / объекты</t>
  </si>
  <si>
    <t>11.1.</t>
  </si>
  <si>
    <t>Аттракционы, парки развлечений</t>
  </si>
  <si>
    <t>11.2.</t>
  </si>
  <si>
    <t>Кинотеатры, театры, концертные залы, цирк, развлекательные комплексы</t>
  </si>
  <si>
    <t>11.3.</t>
  </si>
  <si>
    <t>Музеи, выставки, галереи</t>
  </si>
  <si>
    <t>11.4.</t>
  </si>
  <si>
    <t>Ночные клубы, дискотеки, казино</t>
  </si>
  <si>
    <t>15.1.</t>
  </si>
  <si>
    <t>Беспроводная (сотовая) связь</t>
  </si>
  <si>
    <t>15.2.</t>
  </si>
  <si>
    <t>Стационарная связь, телекоммуникации и т.п.</t>
  </si>
  <si>
    <t>15.3.</t>
  </si>
  <si>
    <t>ЦОД, хранение и обработка данных, интернет компании, разработчики программного обеспечения</t>
  </si>
  <si>
    <t>16.1.</t>
  </si>
  <si>
    <t>Морские и речные порты</t>
  </si>
  <si>
    <t>16.2.</t>
  </si>
  <si>
    <t>Аэропорты</t>
  </si>
  <si>
    <t>16.3.</t>
  </si>
  <si>
    <t>Железные дороги</t>
  </si>
  <si>
    <t>Автомобильные дороги </t>
  </si>
  <si>
    <t>18.1.</t>
  </si>
  <si>
    <t>Котельные</t>
  </si>
  <si>
    <t>18.2.</t>
  </si>
  <si>
    <t>Тепловые сети</t>
  </si>
  <si>
    <t>18.3.</t>
  </si>
  <si>
    <t>Сети водоснабжения и канализации (водоканалы)</t>
  </si>
  <si>
    <t>18.4.</t>
  </si>
  <si>
    <t>Сети газоснабжения</t>
  </si>
  <si>
    <t>Основной</t>
  </si>
  <si>
    <t>SYSDATE</t>
  </si>
  <si>
    <t>YEAR</t>
  </si>
  <si>
    <t>v.18_4</t>
  </si>
  <si>
    <t>№</t>
  </si>
  <si>
    <t>Раздел</t>
  </si>
  <si>
    <t>Пункт</t>
  </si>
  <si>
    <t>Значение</t>
  </si>
  <si>
    <t>Юридический адрес Страхователя:</t>
  </si>
  <si>
    <t>ИНН Страхователя:</t>
  </si>
  <si>
    <t>Контактное лицо Страхователя:</t>
  </si>
  <si>
    <t>Телефон страхователя:</t>
  </si>
  <si>
    <t>Email Страхователя</t>
  </si>
  <si>
    <t>Информация о Выгодоприобретателе</t>
  </si>
  <si>
    <t>Юридический адрес Выгодоприобретателя:</t>
  </si>
  <si>
    <t>ИНН Выгодоприобретателя:</t>
  </si>
  <si>
    <t>Договор-основание Выгодоприобретателя:</t>
  </si>
  <si>
    <t>Номер Договора-основания:</t>
  </si>
  <si>
    <t>Дата начала договора-основания:</t>
  </si>
  <si>
    <t>Дата окончания договора-основания:</t>
  </si>
  <si>
    <t>Контактная информация Выгодоприобретателя:</t>
  </si>
  <si>
    <t>Период 
страхования</t>
  </si>
  <si>
    <t>Дата начала периода страхования:</t>
  </si>
  <si>
    <t>Дата окончания периода страхования:</t>
  </si>
  <si>
    <t>Территория страхования</t>
  </si>
  <si>
    <t>Страна</t>
  </si>
  <si>
    <t>Индекс</t>
  </si>
  <si>
    <t>Субъект / Область</t>
  </si>
  <si>
    <t>Район</t>
  </si>
  <si>
    <t>Населенный пункт</t>
  </si>
  <si>
    <t>Улица</t>
  </si>
  <si>
    <t>Дом</t>
  </si>
  <si>
    <t>Корпус</t>
  </si>
  <si>
    <t>Строение</t>
  </si>
  <si>
    <t>Дополнительно</t>
  </si>
  <si>
    <t>Общая хар-ка объектов страхования</t>
  </si>
  <si>
    <t>Основное назначение имущества</t>
  </si>
  <si>
    <t>Категория имущества</t>
  </si>
  <si>
    <t>Описание имущества</t>
  </si>
  <si>
    <t>Валюта страхования</t>
  </si>
  <si>
    <t>Иная валюта страхования</t>
  </si>
  <si>
    <t>База стоимости</t>
  </si>
  <si>
    <t>Иная база стоимости</t>
  </si>
  <si>
    <t>НДС</t>
  </si>
  <si>
    <t>Первый риск</t>
  </si>
  <si>
    <t>Здание (конструктивные элементы, внутр. и внеш. отделка).</t>
  </si>
  <si>
    <t>Страховая сумма</t>
  </si>
  <si>
    <t>Страховая стоимость</t>
  </si>
  <si>
    <t>Здание (конструктивные элементы, инженерные коммуникации), исключая отделку.</t>
  </si>
  <si>
    <t>Внешние сооружения и результаты работ по благоустройству территории страхования</t>
  </si>
  <si>
    <t xml:space="preserve">Оконные стекла, витрины, стеклопакеты, стеклянные элементы </t>
  </si>
  <si>
    <t>Различное оборудование, не являющееся конструктивной частью здания</t>
  </si>
  <si>
    <t>Товарные запасы готовой продукции</t>
  </si>
  <si>
    <t>Основная категория ТМЦ</t>
  </si>
  <si>
    <t>Краткая характеристика ТМЦ</t>
  </si>
  <si>
    <t>Стоимость максимального остатка ТМЦ</t>
  </si>
  <si>
    <t>Наличные деньги</t>
  </si>
  <si>
    <t>Иное имущество</t>
  </si>
  <si>
    <t>Описание иного имущества</t>
  </si>
  <si>
    <t>Дополнительные 
расходы</t>
  </si>
  <si>
    <t>Нужны ли дополнительные расходы</t>
  </si>
  <si>
    <t>Дополнительные расходы по слому строений, расчистке территории, вывозу мусора.</t>
  </si>
  <si>
    <t>Расходы, которые необходимо произвести в процессе восстановления застрахованного имущества или монтажа нового имущества, для того, чтобы демонтировать, переместить или защитить другое имущество (расходы на удаление и защиту).</t>
  </si>
  <si>
    <t>Дополнительные расходы на оплату работ по ремонту поврежденного имущества в сверхурочное время, ночное время, в официальные праздники и выходные дни, а также транспортные расходы, вызванные  срочностью проведения ремонтных работ.</t>
  </si>
  <si>
    <t>Расходы по выяснению обстоятельств страхового события, расходы на сюрвейеров, экспертов и т.п.</t>
  </si>
  <si>
    <t>Расходы на оплату услуг бухгалтеров, архитекторов, проектировщиков, аудиторов, инженеров и иных экспертов в объеме, необходимом для восстановления погибшего или поврежденного Застрахованного имущества.</t>
  </si>
  <si>
    <t>Расходы, вызванные увеличением стоимости строительства (восстановительные работы после страхового случая) в связи с изменением строительных и иных норм и правил.</t>
  </si>
  <si>
    <t>Расходы на восстановление планов, чертежей, договоров, бухгалтерских записей и утраченных или поврежденных электронных данных (включая данные на магнитных носителях при условии их дублирования), за исключением ценности содержащейся в документах и электронных данных информации.</t>
  </si>
  <si>
    <t>Расходы на временный переезд на период восстановительных работ: расходы по вывозу (перемещению) имущества из поврежденного строения; расходы, связанные с передачей имущества на временное хранение; расходы на оборудование временно занимаемых помещений и арендную плату за их использование и т.д.</t>
  </si>
  <si>
    <t>Иные расходы - характеристика</t>
  </si>
  <si>
    <t>Иные расходы лимит возмещения</t>
  </si>
  <si>
    <t>Основное страховое 
покрытие</t>
  </si>
  <si>
    <t>Вид покрытия (поименованные/все риски)</t>
  </si>
  <si>
    <t>Пожар, воздействие продуктов горения (в том числе дыма), удар молнии, а также взрыв газа, употребляемого в бытовых целях</t>
  </si>
  <si>
    <t>Стихийные бедствия</t>
  </si>
  <si>
    <t>Повреждение застрахованного имущества водой из водопроводных, канализационных, отопительных систем, систем пожаротушения и кондиционирования</t>
  </si>
  <si>
    <t>Взрыв паровых котлов, газохранилищ, газопроводов, машин, аппаратов и других аналогичных устройств</t>
  </si>
  <si>
    <t>Злоумышленные действия третьих лиц</t>
  </si>
  <si>
    <t>Кража с незаконным проникновением, грабеж, разбой</t>
  </si>
  <si>
    <t>Наезд наземных транспортных средств</t>
  </si>
  <si>
    <t>Падение на застрахованное имущество пилотируемых летающих объектов или их обломков</t>
  </si>
  <si>
    <t>Бой оконных стекол, зеркал и витрин</t>
  </si>
  <si>
    <t>Дополнительные риски</t>
  </si>
  <si>
    <t xml:space="preserve">Забастовки, народные волнения, массовые беспорядки </t>
  </si>
  <si>
    <t>Забастовки, народные волнения, массовые беспорядки - Лимит возмещения</t>
  </si>
  <si>
    <t>Терроризм</t>
  </si>
  <si>
    <t>Терроризм - Лимит возмещения</t>
  </si>
  <si>
    <t>Рискозащищенность по территории страхования</t>
  </si>
  <si>
    <t>Функциональное назначение здания</t>
  </si>
  <si>
    <t>Занимаемый этаж</t>
  </si>
  <si>
    <t>Помещение в собственности или арендуемое</t>
  </si>
  <si>
    <t>Год постройки или последнего капремонта</t>
  </si>
  <si>
    <t>Общая площадь здания (кв.м)</t>
  </si>
  <si>
    <t>Занимаемая площадь (кв.м)</t>
  </si>
  <si>
    <t>Здание: отдельностоящее или примыкающее</t>
  </si>
  <si>
    <t>Окончены ли строительные/ремонтные/отделочные работы</t>
  </si>
  <si>
    <t>Укажите строящиеся объекты и/или помещения в которых ведутся работы</t>
  </si>
  <si>
    <t>Огне- и/или взрывоопасные вещества, технологии</t>
  </si>
  <si>
    <t>Краткая характеристика веществ и технологий</t>
  </si>
  <si>
    <t>Баня/сауна</t>
  </si>
  <si>
    <t xml:space="preserve">Стены </t>
  </si>
  <si>
    <t>Стены иные (укажите)</t>
  </si>
  <si>
    <t>Перекрытия</t>
  </si>
  <si>
    <t>Перекрытия иные (укажите)</t>
  </si>
  <si>
    <t>Кровля/крыша</t>
  </si>
  <si>
    <t>Кровля/крыша иная (укажите)</t>
  </si>
  <si>
    <t>На территории страхования используется газ:</t>
  </si>
  <si>
    <t>Cистема пожарной сигнализации:</t>
  </si>
  <si>
    <t xml:space="preserve">Cистемы автоматического пожаротушения: </t>
  </si>
  <si>
    <t>Lоговор на обслуживание системы пожаротушения:</t>
  </si>
  <si>
    <t>огнетушители в соответствии с нормами:</t>
  </si>
  <si>
    <t>предписания со стороны органов пожарного надзора</t>
  </si>
  <si>
    <t>исправная охранная сигнализация:</t>
  </si>
  <si>
    <t xml:space="preserve">Количество охранников в смену (если есть): </t>
  </si>
  <si>
    <t xml:space="preserve">Наличие видеокамер </t>
  </si>
  <si>
    <t>Убыток 1</t>
  </si>
  <si>
    <t>Дата убытка</t>
  </si>
  <si>
    <t>Характер убытка</t>
  </si>
  <si>
    <t>Сумма ущерба, рублей</t>
  </si>
  <si>
    <t>Убыток 2</t>
  </si>
  <si>
    <t>Убыток 3</t>
  </si>
  <si>
    <t>Дополнительные объекты /риски</t>
  </si>
  <si>
    <t>Поломки машин и оборудования.</t>
  </si>
  <si>
    <t>Убытки от перерыва в производстве (хозяйственной деятельности), потеря рентных поступлений.</t>
  </si>
  <si>
    <t>Электрические поломки оборудования.</t>
  </si>
  <si>
    <t>Автомобили на стоянках, в помещениях автосервисов и автодилеров.</t>
  </si>
  <si>
    <t>Товары в холодильных камерах.</t>
  </si>
  <si>
    <t>Ювелирные изделия, драгоценные камни и металлы, меха (меховые изделия)</t>
  </si>
  <si>
    <t>MB - Поломки машин и оборудования</t>
  </si>
  <si>
    <t>Общие суммы</t>
  </si>
  <si>
    <t>Общая страховая сумма</t>
  </si>
  <si>
    <t>Общая страховая стоимость</t>
  </si>
  <si>
    <t>Объем страхового покрытия</t>
  </si>
  <si>
    <t>Непредвиденные поломки или дефекты застрахованных предметов</t>
  </si>
  <si>
    <t>Ошибки или неосторожность персонала Страхователя или третьих лиц</t>
  </si>
  <si>
    <t>Разрыв тросов и цепей, падение застрахованных предметов и удар их о другие предметы</t>
  </si>
  <si>
    <t>Перегрузка, перегрев, вибрация, разладка, заклинивание, засор механизма посторонними предметами, изменение давления внутри механизма, действие центробежной силы и "усталости" механизма</t>
  </si>
  <si>
    <t xml:space="preserve">Воздействие электроэнергии в виде короткого замыкания, перегрузка электросети, падение напряжения, атмосферный разряд и др., включая ущерб от возникшего в    результате этих явлений пожара, если ущерб причинен непосредственно тем предметам, в которых зародился пожар </t>
  </si>
  <si>
    <t>Поломки или неисправность приставок, защитных или регулирующих приспособлений</t>
  </si>
  <si>
    <t>Ветер, мороз, ледоход</t>
  </si>
  <si>
    <t>Взрыв паровых котлов, двигателей внутреннего сгорания и других источников энергии, при условии, что возмещается только ущерб, причиненный непосредственно названным предметам, в которых возник взрыв</t>
  </si>
  <si>
    <t>Ошибки или недостатки конструкции, проекта, изготовления, монтажа, сборки, ремонта</t>
  </si>
  <si>
    <t>BI - Убытки от перерыва в производстве (хозяйственной деятельности), потеря рентных поступлений</t>
  </si>
  <si>
    <t>Период возмещения</t>
  </si>
  <si>
    <t>Объект1</t>
  </si>
  <si>
    <t>Характеристика объекта страхования</t>
  </si>
  <si>
    <t>Объект2</t>
  </si>
  <si>
    <t>Объект3</t>
  </si>
  <si>
    <t>Объект4</t>
  </si>
  <si>
    <t>Объект5</t>
  </si>
  <si>
    <t>Объект6</t>
  </si>
  <si>
    <t>Объект7</t>
  </si>
  <si>
    <t>Объект8</t>
  </si>
  <si>
    <t>Объект9</t>
  </si>
  <si>
    <t>Объект10</t>
  </si>
  <si>
    <t>Расширения покрытия</t>
  </si>
  <si>
    <t>Убытки Страхователя от перерыва в производстве (хозяйственной деятельности) связанные с невозможностью поставщиков товаров/услуг (включая поставщиков электроэнергии, тепловой энергии, воды, прочих коммунальных и других услуг) осуществлять указанные поставки Страхователю по причине внезапного и непредвиденного уничтожения или повреждения имущества поставщиков</t>
  </si>
  <si>
    <t>Убытки Страхователя от перерыва в производстве (хозяйственной деятельности), связанные с невозможностью покупателей (потребителей) товаров/услуг Страхователя принимать указанные товары/услуги по причине внезапного и непредвиденного уничтожения или повреждения имущества покупателей (потребителей) (просим приложить перечень с указанием наименования покупателей/потребителей и вида покупаемой/поставляемой продукции/услуг)</t>
  </si>
  <si>
    <t>Убытки от перерыва в производственной (хозяйственной) деятельности Страхователя, вызванные невозможностью доступа к предприятию Страхователя/ выхода из предприятия Страхователя вследствие внезапных и непредвиденных воздействий извне.</t>
  </si>
  <si>
    <t>Убытки от перерыва в производственной (хозяйственной) деятельности Страхователя, вызванного соответствующими действиями органов государственной власти</t>
  </si>
  <si>
    <t>EE - Электрические поломки оборудования</t>
  </si>
  <si>
    <t xml:space="preserve"> Ошибки в эксплуатации застрахованного имущества, неосторожность обслуживающего персонала или злоумышленные действия третьих лиц</t>
  </si>
  <si>
    <t xml:space="preserve"> Воздействие электротока в форме короткого замыкания, резкое повышение силы тока или напряжения в электросети, воздействие индуктированных токов и других аналогичных причин</t>
  </si>
  <si>
    <t>Дефект материалов, ошибки в конструкции, изготовлении или монтаже застрахованного имущества</t>
  </si>
  <si>
    <t>Внезапное прекращение подачи электроэнергии из общественных сетей энергоснабжения;</t>
  </si>
  <si>
    <t xml:space="preserve"> Выход из строя систем кондиционирования воздуха, включая ущерб, причиненный самой системе, при условии, что она застрахована по настоящему договору страхования, поддерживается в рабочем состоянии и оборудована приборами измерения температуры и влажности</t>
  </si>
  <si>
    <t xml:space="preserve"> Использование застрахованного оборудования для проведения экспериментальных или исследовательских работ</t>
  </si>
  <si>
    <t>Авто - Автомобили на стоянках, в помещениях автосервисов и автодилеров</t>
  </si>
  <si>
    <t>1.1. Где и как хранятся документы на машины</t>
  </si>
  <si>
    <t>1.2. Где и как хранятся ключи на машины</t>
  </si>
  <si>
    <t>1.3 Сколько бензина залито (л)</t>
  </si>
  <si>
    <t>Для открытой стоянки</t>
  </si>
  <si>
    <t>2.1. Количество въездов/выездов</t>
  </si>
  <si>
    <t>2.2. Высота ограждения (м)</t>
  </si>
  <si>
    <t>2.3. Порядок въезда и выезда</t>
  </si>
  <si>
    <t>2.4. Эксплуатация стоянки только страхователем или нет</t>
  </si>
  <si>
    <t>2.5. Наличие видеокамер</t>
  </si>
  <si>
    <t>2.6. Наличие собак</t>
  </si>
  <si>
    <t>2.7. Обход территории</t>
  </si>
  <si>
    <t>2.8. Находятся ли автомобиле в прямой видимости охраны</t>
  </si>
  <si>
    <t>ТМЦ в холодильнике - Товары в холодильных камерах</t>
  </si>
  <si>
    <t>Объем покрытия</t>
  </si>
  <si>
    <t>Внезапное и непредвиденное повреждение, уничтожение или поломка холодильных установок</t>
  </si>
  <si>
    <t>Остановка холодильных установок, из-за внезапного прекращения подачи электрического тока из общественной или внутренней энергосети</t>
  </si>
  <si>
    <t>Характеристика холодильного сооружения</t>
  </si>
  <si>
    <t xml:space="preserve"> 2.1. Количество независимых холодильных контуров</t>
  </si>
  <si>
    <t xml:space="preserve"> 2.2. Количество холодильных камер (отсеков)</t>
  </si>
  <si>
    <t xml:space="preserve"> 2.3. Объем морозильных камер</t>
  </si>
  <si>
    <t xml:space="preserve"> 2.4. Общая площадь холодильных камер (кв.м)</t>
  </si>
  <si>
    <t xml:space="preserve"> 2.5. Высота (м)</t>
  </si>
  <si>
    <t xml:space="preserve"> 2.6. Температура в камерах</t>
  </si>
  <si>
    <t xml:space="preserve"> 2.7. Содержание СО2 (%)</t>
  </si>
  <si>
    <t xml:space="preserve"> 2.8. Содержание О2 (%)</t>
  </si>
  <si>
    <t xml:space="preserve"> 2.9. Относительная влажность воздуха (%)</t>
  </si>
  <si>
    <t xml:space="preserve"> 2.10. Давление воздуха (атм)</t>
  </si>
  <si>
    <t xml:space="preserve"> 2.11. Наличие резервных источников электроэнергии</t>
  </si>
  <si>
    <t xml:space="preserve"> 2.12. Количество электрических вводов на предприятие (в здание)</t>
  </si>
  <si>
    <t xml:space="preserve"> 2.13. Тип холодильного агента</t>
  </si>
  <si>
    <t xml:space="preserve"> 2.14. Тип изоляционного материала</t>
  </si>
  <si>
    <t xml:space="preserve"> 2.15. Дата последней контрольной проверки изоляции</t>
  </si>
  <si>
    <t xml:space="preserve"> 2.16. Дата последней замены изоляции</t>
  </si>
  <si>
    <t>Характеристика холодильной установки</t>
  </si>
  <si>
    <t xml:space="preserve"> 3.1. Дата ввода в эксплуатацию</t>
  </si>
  <si>
    <t xml:space="preserve"> 3.2. Укажите, кто осуществляет технадзор</t>
  </si>
  <si>
    <t xml:space="preserve"> 3.3. Инспекции проводятся с нормативной периодичностью</t>
  </si>
  <si>
    <t xml:space="preserve"> 3.4. Текущий ремонт проводится с нормативной периодичностью</t>
  </si>
  <si>
    <t xml:space="preserve"> 3.5. Кто проводит текущий ремонт</t>
  </si>
  <si>
    <t xml:space="preserve"> 3.6. Данная холодильная установка является собственностью</t>
  </si>
  <si>
    <t xml:space="preserve"> 3.7. Беспретензионный период (период времени в соответствии с технической документацией, в течение которого холодильная установка может сохранять заданный температурный режим при отключении электропитания или ее непредвиденной поломке), в часах</t>
  </si>
  <si>
    <t xml:space="preserve"> Характеристика систем контроля и сигнализации</t>
  </si>
  <si>
    <t xml:space="preserve"> 4.1. Число и тип датчиков
 (температуры, влажности, СО2, СО, давления) в каждой камере</t>
  </si>
  <si>
    <t xml:space="preserve"> 4.2. Интервалы контроля в часах</t>
  </si>
  <si>
    <t xml:space="preserve"> 4.3. Имеются ли сигнализаторы</t>
  </si>
  <si>
    <t>Резервные холодильные сооружения</t>
  </si>
  <si>
    <t xml:space="preserve"> 5.1. Наличие</t>
  </si>
  <si>
    <t xml:space="preserve"> 5.2. Адрес</t>
  </si>
  <si>
    <t xml:space="preserve"> 5.3. Какой % товара может быть перемещен</t>
  </si>
  <si>
    <t>Ювелирные изделия и меха - Ювелирные изделия, драгоценные камни и металлы, меха</t>
  </si>
  <si>
    <t>Параметры рискозащищенности</t>
  </si>
  <si>
    <t>1.1. Максимальная стоимость единицы ювелирных изделий, драгоценных камней и металлов (в рублях), мехов (если более 300 т.р. – приложить документы)</t>
  </si>
  <si>
    <t>1.2. При наличии ЧОПа – указать реквизиты и приложить копию договора охраны</t>
  </si>
  <si>
    <t>1.3. Наличие исправной автоматической охранной сигнализации с выводом на пульт охраны (МВД, ЧОП и т.п.)</t>
  </si>
  <si>
    <t>1.4. Наличие датчиков на все стекла и двери, а также на движение внутри помещения</t>
  </si>
  <si>
    <t>1.5. Остекление торговых витрин противоударное и без свободного доступа к изделиям со стороны покупателей и третьих лиц</t>
  </si>
  <si>
    <t>1.6. Площадь (объем) помещений контролируется извещателями</t>
  </si>
  <si>
    <t>1.7. Дверные проёмы, люки, ворота блокируются на «открывание» и «пролом»</t>
  </si>
  <si>
    <t>1.8. Остекленные конструкции блокируются на «открывание» и разрушение стекла</t>
  </si>
  <si>
    <t>1.9. Металлические двери, ворота блокируются на «открывание» и ударное воздействие</t>
  </si>
  <si>
    <t>1.10. Некапитальные стены, потолки и места ввода коммуникаций блокируются на «пролом»</t>
  </si>
  <si>
    <t>1.11. Капитальные стены, вентиляционные короба блокируются на разрушение и удар. Воздействие</t>
  </si>
  <si>
    <t>1.12. При отключении сетевого электропитания работоспособность ПКП (приемно-контрольный прибор) и извещателей обеспечена автономным питанием на 8 часов</t>
  </si>
  <si>
    <t>1.13. Во внерабочее время ценности убираются в сейф в сейфовую комнату</t>
  </si>
  <si>
    <t>1.14. Сейф надежно закреплен к конструкциям здания</t>
  </si>
  <si>
    <t>1.15. Сейф/сейфовая комната соответствует классу устойчивости к взлому не ниже 2</t>
  </si>
  <si>
    <t>Прочая информация, которую страхователь считает необходимым указать: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</si>
</sst>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8" formatCode="dd\.mm\.yyyy"/>
    <numFmt numFmtId="169" formatCode="\+\7\(#\)\ 000\-00\-00"/>
    <numFmt numFmtId="170" formatCode="#\ ##0.00"/>
    <numFmt numFmtId="171" formatCode="0.0000"/>
    <numFmt numFmtId="172" formatCode="0.00000"/>
    <numFmt numFmtId="173" formatCode="#\ ##0"/>
    <numFmt numFmtId="174" formatCode="#\ ##0.00000"/>
    <numFmt numFmtId="175" formatCode="dd\.mmm"/>
    <numFmt numFmtId="176" formatCode="0_ ;\-0\ "/>
    <numFmt numFmtId="177" formatCode="[$-F400]h:mm:ss\ AM/PM"/>
  </numFmts>
  <fonts count="31">
    <font>
      <sz val="11"/>
      <color rgb="FF000000"/>
      <name val="Calibri"/>
      <charset val="134"/>
    </font>
    <font>
      <b/>
      <sz val="12"/>
      <color rgb="FF000000"/>
      <name val="Calibri"/>
      <charset val="204"/>
    </font>
    <font>
      <sz val="11"/>
      <color rgb="FF000000"/>
      <name val="Calibri"/>
      <charset val="204"/>
    </font>
    <font>
      <b/>
      <sz val="11"/>
      <color rgb="FF000000"/>
      <name val="Calibri"/>
      <charset val="204"/>
    </font>
    <font>
      <sz val="7"/>
      <color rgb="FF000000"/>
      <name val="Calibri"/>
      <charset val="204"/>
    </font>
    <font>
      <sz val="9"/>
      <color rgb="FF000000"/>
      <name val="Calibri"/>
      <charset val="204"/>
    </font>
    <font>
      <sz val="10"/>
      <color rgb="FF000000"/>
      <name val="Calibri"/>
      <charset val="204"/>
    </font>
    <font>
      <sz val="8"/>
      <color rgb="FF000000"/>
      <name val="Calibri"/>
      <charset val="204"/>
    </font>
    <font>
      <sz val="10"/>
      <color rgb="FF000000"/>
      <name val="Arial Narrow"/>
      <charset val="204"/>
    </font>
    <font>
      <sz val="10"/>
      <color theme="1"/>
      <name val="Arial Narrow"/>
      <charset val="204"/>
    </font>
    <font>
      <b/>
      <i/>
      <sz val="10"/>
      <color rgb="FF000000"/>
      <name val="Arial Narrow"/>
      <charset val="204"/>
    </font>
    <font>
      <b/>
      <sz val="12"/>
      <color theme="4" tint="-0.249977111117893"/>
      <name val="Calibri"/>
      <charset val="204"/>
    </font>
    <font>
      <sz val="10"/>
      <color rgb="FF000000"/>
      <name val="Calibri"/>
      <charset val="204"/>
      <scheme val="minor"/>
    </font>
    <font>
      <b/>
      <sz val="12"/>
      <color theme="4" tint="-0.249977111117893"/>
      <name val="Calibri"/>
      <charset val="204"/>
      <scheme val="minor"/>
    </font>
    <font>
      <b/>
      <sz val="10"/>
      <color rgb="FF000000"/>
      <name val="Calibri"/>
      <charset val="204"/>
      <scheme val="minor"/>
    </font>
    <font>
      <sz val="10"/>
      <name val="Calibri"/>
      <charset val="204"/>
      <scheme val="minor"/>
    </font>
    <font>
      <i/>
      <sz val="10"/>
      <name val="Calibri"/>
      <charset val="204"/>
    </font>
    <font>
      <i/>
      <sz val="10"/>
      <name val="Calibri"/>
      <charset val="204"/>
      <scheme val="minor"/>
    </font>
    <font>
      <b/>
      <sz val="16"/>
      <color theme="4" tint="-0.249977111117893"/>
      <name val="Calibri"/>
      <charset val="204"/>
    </font>
    <font>
      <b/>
      <sz val="16"/>
      <color rgb="FF000000"/>
      <name val="Calibri"/>
      <charset val="204"/>
    </font>
    <font>
      <i/>
      <sz val="10"/>
      <color rgb="FF000000"/>
      <name val="Calibri"/>
      <charset val="204"/>
    </font>
    <font>
      <u/>
      <sz val="11"/>
      <color theme="10"/>
      <name val="Calibri"/>
      <charset val="204"/>
    </font>
    <font>
      <sz val="10"/>
      <name val="Calibri"/>
      <charset val="204"/>
    </font>
    <font>
      <b/>
      <sz val="10"/>
      <color rgb="FF000000"/>
      <name val="Calibri"/>
      <charset val="204"/>
    </font>
    <font>
      <b/>
      <sz val="10"/>
      <name val="Calibri"/>
      <charset val="204"/>
    </font>
    <font>
      <sz val="11"/>
      <color theme="1"/>
      <name val="Calibri"/>
      <charset val="204"/>
      <scheme val="minor"/>
    </font>
    <font>
      <i/>
      <sz val="10"/>
      <color rgb="FF000000"/>
      <name val="Calibri"/>
      <charset val="204"/>
      <scheme val="minor"/>
    </font>
    <font>
      <b/>
      <u/>
      <sz val="10"/>
      <color rgb="FF000000"/>
      <name val="Calibri"/>
      <charset val="204"/>
    </font>
    <font>
      <b/>
      <i/>
      <sz val="10"/>
      <name val="Calibri"/>
      <charset val="204"/>
    </font>
    <font>
      <sz val="8"/>
      <color rgb="FF000000"/>
      <name val="Segoe UI"/>
      <family val="2"/>
      <charset val="204"/>
    </font>
    <font>
      <sz val="11"/>
      <color rgb="FF000000"/>
      <name val="Calibri"/>
      <family val="2"/>
      <charset val="204"/>
    </font>
  </fonts>
  <fills count="10">
    <fill>
      <patternFill patternType="none"/>
    </fill>
    <fill>
      <patternFill patternType="gray125"/>
    </fill>
    <fill>
      <patternFill patternType="solid">
        <fgColor rgb="FF92D050"/>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0" tint="-0.14996795556505021"/>
        <bgColor indexed="64"/>
      </patternFill>
    </fill>
    <fill>
      <patternFill patternType="solid">
        <fgColor theme="0"/>
        <bgColor indexed="64"/>
      </patternFill>
    </fill>
  </fills>
  <borders count="8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style="thin">
        <color auto="1"/>
      </right>
      <top/>
      <bottom/>
      <diagonal/>
    </border>
    <border>
      <left/>
      <right style="thin">
        <color auto="1"/>
      </right>
      <top style="thin">
        <color auto="1"/>
      </top>
      <bottom/>
      <diagonal/>
    </border>
    <border>
      <left/>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top style="hair">
        <color auto="1"/>
      </top>
      <bottom/>
      <diagonal/>
    </border>
    <border>
      <left/>
      <right/>
      <top style="hair">
        <color auto="1"/>
      </top>
      <bottom/>
      <diagonal/>
    </border>
    <border>
      <left style="thin">
        <color auto="1"/>
      </left>
      <right/>
      <top/>
      <bottom style="hair">
        <color auto="1"/>
      </bottom>
      <diagonal/>
    </border>
    <border>
      <left/>
      <right/>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hair">
        <color auto="1"/>
      </bottom>
      <diagonal/>
    </border>
    <border>
      <left/>
      <right style="thin">
        <color auto="1"/>
      </right>
      <top style="hair">
        <color auto="1"/>
      </top>
      <bottom/>
      <diagonal/>
    </border>
    <border>
      <left/>
      <right style="thin">
        <color auto="1"/>
      </right>
      <top/>
      <bottom style="hair">
        <color auto="1"/>
      </bottom>
      <diagonal/>
    </border>
    <border>
      <left/>
      <right style="thin">
        <color auto="1"/>
      </right>
      <top style="hair">
        <color auto="1"/>
      </top>
      <bottom style="thin">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style="hair">
        <color auto="1"/>
      </right>
      <top style="hair">
        <color auto="1"/>
      </top>
      <bottom/>
      <diagonal/>
    </border>
    <border>
      <left style="thin">
        <color auto="1"/>
      </left>
      <right style="thin">
        <color auto="1"/>
      </right>
      <top style="thin">
        <color auto="1"/>
      </top>
      <bottom style="hair">
        <color auto="1"/>
      </bottom>
      <diagonal/>
    </border>
    <border>
      <left/>
      <right style="hair">
        <color auto="1"/>
      </right>
      <top style="hair">
        <color auto="1"/>
      </top>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hair">
        <color auto="1"/>
      </left>
      <right/>
      <top style="hair">
        <color auto="1"/>
      </top>
      <bottom/>
      <diagonal/>
    </border>
    <border>
      <left style="hair">
        <color auto="1"/>
      </left>
      <right style="hair">
        <color auto="1"/>
      </right>
      <top style="thin">
        <color auto="1"/>
      </top>
      <bottom/>
      <diagonal/>
    </border>
    <border>
      <left/>
      <right style="hair">
        <color auto="1"/>
      </right>
      <top/>
      <bottom/>
      <diagonal/>
    </border>
    <border>
      <left style="hair">
        <color auto="1"/>
      </left>
      <right style="hair">
        <color auto="1"/>
      </right>
      <top/>
      <bottom/>
      <diagonal/>
    </border>
    <border>
      <left style="thin">
        <color auto="1"/>
      </left>
      <right/>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hair">
        <color auto="1"/>
      </left>
      <right/>
      <top style="thin">
        <color auto="1"/>
      </top>
      <bottom/>
      <diagonal/>
    </border>
    <border>
      <left style="hair">
        <color auto="1"/>
      </left>
      <right/>
      <top/>
      <bottom style="thin">
        <color auto="1"/>
      </bottom>
      <diagonal/>
    </border>
    <border>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theme="0"/>
      </right>
      <top style="thin">
        <color auto="1"/>
      </top>
      <bottom/>
      <diagonal/>
    </border>
    <border>
      <left/>
      <right style="thin">
        <color theme="0"/>
      </right>
      <top style="thin">
        <color theme="0"/>
      </top>
      <bottom/>
      <diagonal/>
    </border>
    <border>
      <left style="thin">
        <color theme="0"/>
      </left>
      <right/>
      <top style="thin">
        <color theme="0"/>
      </top>
      <bottom/>
      <diagonal/>
    </border>
    <border>
      <left style="thin">
        <color auto="1"/>
      </left>
      <right style="thin">
        <color theme="0"/>
      </right>
      <top style="thin">
        <color auto="1"/>
      </top>
      <bottom style="thin">
        <color theme="0"/>
      </bottom>
      <diagonal/>
    </border>
    <border>
      <left style="thin">
        <color auto="1"/>
      </left>
      <right style="thin">
        <color theme="0"/>
      </right>
      <top style="thin">
        <color theme="0"/>
      </top>
      <bottom style="thin">
        <color auto="1"/>
      </bottom>
      <diagonal/>
    </border>
    <border>
      <left style="thin">
        <color theme="0"/>
      </left>
      <right/>
      <top style="thin">
        <color theme="0"/>
      </top>
      <bottom style="thin">
        <color auto="1"/>
      </bottom>
      <diagonal/>
    </border>
    <border>
      <left style="thin">
        <color auto="1"/>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style="thin">
        <color auto="1"/>
      </left>
      <right/>
      <top/>
      <bottom style="thin">
        <color theme="0"/>
      </bottom>
      <diagonal/>
    </border>
    <border>
      <left/>
      <right/>
      <top/>
      <bottom style="thin">
        <color theme="0"/>
      </bottom>
      <diagonal/>
    </border>
    <border>
      <left style="thin">
        <color auto="1"/>
      </left>
      <right style="hair">
        <color auto="1"/>
      </right>
      <top/>
      <bottom style="hair">
        <color auto="1"/>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thin">
        <color theme="0"/>
      </left>
      <right style="thin">
        <color auto="1"/>
      </right>
      <top style="thin">
        <color auto="1"/>
      </top>
      <bottom/>
      <diagonal/>
    </border>
    <border>
      <left style="thin">
        <color theme="0"/>
      </left>
      <right style="thin">
        <color auto="1"/>
      </right>
      <top style="thin">
        <color auto="1"/>
      </top>
      <bottom style="thin">
        <color auto="1"/>
      </bottom>
      <diagonal/>
    </border>
    <border>
      <left style="hair">
        <color auto="1"/>
      </left>
      <right/>
      <top style="thin">
        <color auto="1"/>
      </top>
      <bottom style="thin">
        <color auto="1"/>
      </bottom>
      <diagonal/>
    </border>
  </borders>
  <cellStyleXfs count="4">
    <xf numFmtId="0" fontId="0" fillId="0" borderId="0"/>
    <xf numFmtId="0" fontId="21" fillId="0" borderId="0" applyNumberFormat="0" applyFill="0" applyBorder="0" applyAlignment="0" applyProtection="0"/>
    <xf numFmtId="0" fontId="25" fillId="0" borderId="0"/>
    <xf numFmtId="0" fontId="2" fillId="0" borderId="0"/>
  </cellStyleXfs>
  <cellXfs count="698">
    <xf numFmtId="0" fontId="0" fillId="0" borderId="0" xfId="0" applyFill="1"/>
    <xf numFmtId="0" fontId="0" fillId="0" borderId="0" xfId="0" applyFill="1" applyAlignment="1">
      <alignment horizontal="center" vertical="center"/>
    </xf>
    <xf numFmtId="0" fontId="0" fillId="0" borderId="0" xfId="0" applyFill="1" applyAlignment="1">
      <alignment vertical="center"/>
    </xf>
    <xf numFmtId="0" fontId="0" fillId="0" borderId="0" xfId="0" applyFill="1" applyAlignment="1">
      <alignment horizontal="right"/>
    </xf>
    <xf numFmtId="0" fontId="2" fillId="0" borderId="0" xfId="0" applyFont="1" applyFill="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68" fontId="2" fillId="0" borderId="0" xfId="0" applyNumberFormat="1" applyFont="1" applyFill="1" applyAlignment="1">
      <alignment horizontal="center" vertical="center"/>
    </xf>
    <xf numFmtId="0" fontId="0" fillId="0" borderId="0" xfId="0" applyNumberFormat="1" applyFill="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vertical="center"/>
    </xf>
    <xf numFmtId="0" fontId="0" fillId="3" borderId="1" xfId="0" applyFill="1" applyBorder="1" applyAlignment="1" applyProtection="1">
      <alignment horizontal="right"/>
      <protection locked="0" hidden="1"/>
    </xf>
    <xf numFmtId="0" fontId="0" fillId="0" borderId="0" xfId="0" applyFill="1" applyAlignment="1">
      <alignment horizontal="center"/>
    </xf>
    <xf numFmtId="0" fontId="2" fillId="3" borderId="2" xfId="0" applyFont="1" applyFill="1" applyBorder="1" applyAlignment="1">
      <alignment vertical="center"/>
    </xf>
    <xf numFmtId="49" fontId="0" fillId="3" borderId="1" xfId="0" applyNumberFormat="1" applyFill="1" applyBorder="1" applyAlignment="1" applyProtection="1">
      <alignment horizontal="right"/>
      <protection locked="0" hidden="1"/>
    </xf>
    <xf numFmtId="1" fontId="0" fillId="3" borderId="1" xfId="0" applyNumberFormat="1" applyFill="1" applyBorder="1" applyAlignment="1" applyProtection="1">
      <alignment horizontal="right"/>
      <protection locked="0" hidden="1"/>
    </xf>
    <xf numFmtId="169" fontId="0" fillId="3" borderId="1" xfId="0" applyNumberFormat="1" applyFill="1" applyBorder="1" applyAlignment="1" applyProtection="1">
      <alignment horizontal="right"/>
      <protection locked="0" hidden="1"/>
    </xf>
    <xf numFmtId="168" fontId="0" fillId="0" borderId="0" xfId="0" applyNumberFormat="1" applyFill="1" applyAlignment="1">
      <alignment horizontal="center" vertical="center"/>
    </xf>
    <xf numFmtId="49" fontId="2" fillId="3" borderId="1" xfId="0" applyNumberFormat="1" applyFont="1" applyFill="1" applyBorder="1" applyAlignment="1" applyProtection="1">
      <alignment horizontal="right"/>
      <protection locked="0" hidden="1"/>
    </xf>
    <xf numFmtId="0" fontId="0" fillId="4" borderId="1" xfId="0" applyFill="1" applyBorder="1" applyAlignment="1">
      <alignment horizontal="center" vertical="center"/>
    </xf>
    <xf numFmtId="0" fontId="2" fillId="4" borderId="2" xfId="0" applyFont="1" applyFill="1" applyBorder="1" applyAlignment="1">
      <alignment vertical="center"/>
    </xf>
    <xf numFmtId="49" fontId="0" fillId="4" borderId="1" xfId="0" applyNumberFormat="1" applyFill="1" applyBorder="1" applyAlignment="1" applyProtection="1">
      <alignment horizontal="right"/>
      <protection locked="0" hidden="1"/>
    </xf>
    <xf numFmtId="169" fontId="0" fillId="0" borderId="0" xfId="0" applyNumberFormat="1" applyFill="1"/>
    <xf numFmtId="0" fontId="0" fillId="4" borderId="1" xfId="0" applyFill="1" applyBorder="1" applyAlignment="1" applyProtection="1">
      <alignment horizontal="right"/>
      <protection locked="0" hidden="1"/>
    </xf>
    <xf numFmtId="1" fontId="0" fillId="4" borderId="1" xfId="0" applyNumberFormat="1" applyFill="1" applyBorder="1" applyAlignment="1" applyProtection="1">
      <alignment horizontal="right"/>
      <protection locked="0" hidden="1"/>
    </xf>
    <xf numFmtId="168" fontId="0" fillId="4" borderId="1" xfId="0" applyNumberFormat="1" applyFill="1" applyBorder="1" applyAlignment="1" applyProtection="1">
      <alignment horizontal="right"/>
      <protection locked="0" hidden="1"/>
    </xf>
    <xf numFmtId="168" fontId="0" fillId="3" borderId="1" xfId="0" applyNumberFormat="1" applyFill="1" applyBorder="1" applyAlignment="1" applyProtection="1">
      <alignment horizontal="right"/>
      <protection locked="0" hidden="1"/>
    </xf>
    <xf numFmtId="170" fontId="0" fillId="4" borderId="1" xfId="0" applyNumberFormat="1" applyFill="1" applyBorder="1" applyAlignment="1" applyProtection="1">
      <alignment horizontal="right"/>
      <protection locked="0" hidden="1"/>
    </xf>
    <xf numFmtId="170" fontId="0" fillId="3" borderId="1" xfId="0" applyNumberFormat="1" applyFill="1" applyBorder="1" applyAlignment="1" applyProtection="1">
      <alignment horizontal="right"/>
      <protection locked="0" hidden="1"/>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0" fillId="3" borderId="1" xfId="0" applyNumberFormat="1" applyFill="1" applyBorder="1" applyAlignment="1" applyProtection="1">
      <alignment horizontal="right"/>
      <protection locked="0" hidden="1"/>
    </xf>
    <xf numFmtId="170" fontId="2" fillId="3" borderId="1" xfId="0" applyNumberFormat="1" applyFont="1" applyFill="1" applyBorder="1" applyAlignment="1" applyProtection="1">
      <alignment horizontal="right"/>
      <protection locked="0" hidden="1"/>
    </xf>
    <xf numFmtId="0" fontId="2" fillId="0" borderId="0" xfId="0" applyFont="1" applyFill="1"/>
    <xf numFmtId="0" fontId="2" fillId="4" borderId="1" xfId="0" applyFont="1" applyFill="1" applyBorder="1" applyAlignment="1">
      <alignment vertical="center"/>
    </xf>
    <xf numFmtId="170" fontId="2" fillId="3" borderId="1" xfId="0" applyNumberFormat="1" applyFont="1" applyFill="1" applyBorder="1" applyAlignment="1">
      <alignment horizontal="right"/>
    </xf>
    <xf numFmtId="0" fontId="0" fillId="4" borderId="1" xfId="0" applyFill="1" applyBorder="1" applyAlignment="1">
      <alignment vertical="center"/>
    </xf>
    <xf numFmtId="0" fontId="2" fillId="0" borderId="0" xfId="3" applyFont="1" applyFill="1" applyProtection="1"/>
    <xf numFmtId="0" fontId="2" fillId="0" borderId="0" xfId="3" applyFont="1" applyFill="1" applyAlignment="1" applyProtection="1">
      <alignment horizontal="center" vertical="center"/>
    </xf>
    <xf numFmtId="0" fontId="2" fillId="3" borderId="1" xfId="3" applyFont="1" applyFill="1" applyBorder="1" applyAlignment="1" applyProtection="1">
      <alignment vertical="center"/>
    </xf>
    <xf numFmtId="0" fontId="2" fillId="4" borderId="1" xfId="0" applyFont="1" applyFill="1" applyBorder="1" applyAlignment="1">
      <alignment horizontal="center" vertical="center"/>
    </xf>
    <xf numFmtId="0" fontId="2" fillId="4" borderId="1" xfId="3" applyFont="1" applyFill="1" applyBorder="1" applyAlignment="1" applyProtection="1">
      <alignment vertical="center"/>
    </xf>
    <xf numFmtId="0" fontId="2" fillId="5" borderId="1" xfId="3" applyFont="1" applyFill="1" applyBorder="1" applyAlignment="1" applyProtection="1">
      <alignment vertical="center"/>
    </xf>
    <xf numFmtId="0" fontId="0" fillId="4" borderId="1" xfId="0" applyFill="1" applyBorder="1" applyAlignment="1">
      <alignment horizontal="right"/>
    </xf>
    <xf numFmtId="0" fontId="2" fillId="3" borderId="1" xfId="0" applyFont="1" applyFill="1" applyBorder="1" applyAlignment="1">
      <alignment vertical="top"/>
    </xf>
    <xf numFmtId="49" fontId="2" fillId="4" borderId="1" xfId="0" applyNumberFormat="1" applyFont="1" applyFill="1" applyBorder="1" applyAlignment="1" applyProtection="1">
      <alignment horizontal="right"/>
      <protection locked="0" hidden="1"/>
    </xf>
    <xf numFmtId="0" fontId="0" fillId="3" borderId="1" xfId="0" applyFill="1" applyBorder="1" applyAlignment="1">
      <alignment vertical="center"/>
    </xf>
    <xf numFmtId="0" fontId="2" fillId="4" borderId="1" xfId="0" applyFont="1" applyFill="1" applyBorder="1" applyAlignment="1">
      <alignment horizontal="left" vertical="center"/>
    </xf>
    <xf numFmtId="0" fontId="0" fillId="4" borderId="1" xfId="0" applyFill="1" applyBorder="1" applyAlignment="1">
      <alignment horizontal="left" vertical="center"/>
    </xf>
    <xf numFmtId="0" fontId="0" fillId="3" borderId="1" xfId="0" applyFill="1" applyBorder="1"/>
    <xf numFmtId="0" fontId="0" fillId="4" borderId="1" xfId="0" applyFill="1" applyBorder="1"/>
    <xf numFmtId="2" fontId="0" fillId="4" borderId="1" xfId="0" applyNumberFormat="1" applyFill="1" applyBorder="1" applyAlignment="1" applyProtection="1">
      <alignment horizontal="right"/>
      <protection locked="0" hidden="1"/>
    </xf>
    <xf numFmtId="0" fontId="0" fillId="4" borderId="1" xfId="0" applyNumberFormat="1" applyFill="1" applyBorder="1" applyAlignment="1" applyProtection="1">
      <alignment horizontal="right"/>
      <protection locked="0" hidden="1"/>
    </xf>
    <xf numFmtId="171" fontId="0" fillId="4" borderId="1" xfId="0" applyNumberFormat="1" applyFill="1" applyBorder="1" applyAlignment="1" applyProtection="1">
      <alignment horizontal="right"/>
      <protection locked="0" hidden="1"/>
    </xf>
    <xf numFmtId="172" fontId="0" fillId="4" borderId="1" xfId="0" applyNumberFormat="1" applyFill="1" applyBorder="1" applyAlignment="1" applyProtection="1">
      <alignment horizontal="right"/>
      <protection locked="0" hidden="1"/>
    </xf>
    <xf numFmtId="2" fontId="0" fillId="3" borderId="1" xfId="0" applyNumberFormat="1" applyFill="1" applyBorder="1" applyAlignment="1" applyProtection="1">
      <alignment horizontal="right"/>
      <protection locked="0" hidden="1"/>
    </xf>
    <xf numFmtId="0" fontId="2" fillId="4" borderId="1" xfId="0" applyFont="1" applyFill="1" applyBorder="1" applyAlignment="1">
      <alignment vertical="center" wrapText="1"/>
    </xf>
    <xf numFmtId="0" fontId="2" fillId="5" borderId="1" xfId="0" applyFont="1" applyFill="1" applyBorder="1" applyAlignment="1">
      <alignment vertical="center"/>
    </xf>
    <xf numFmtId="0" fontId="0" fillId="5" borderId="1" xfId="0" applyNumberFormat="1" applyFill="1" applyBorder="1" applyAlignment="1">
      <alignment horizontal="right"/>
    </xf>
    <xf numFmtId="0" fontId="8" fillId="0" borderId="0" xfId="3" applyFont="1" applyFill="1" applyBorder="1"/>
    <xf numFmtId="0" fontId="9" fillId="0" borderId="0" xfId="3" applyFont="1" applyFill="1" applyBorder="1" applyAlignment="1">
      <alignment vertical="center"/>
    </xf>
    <xf numFmtId="0" fontId="8" fillId="0" borderId="0" xfId="3" applyFont="1" applyFill="1" applyBorder="1" applyAlignment="1">
      <alignment horizontal="center" vertical="center"/>
    </xf>
    <xf numFmtId="0" fontId="10" fillId="0" borderId="0" xfId="3" applyFont="1" applyFill="1" applyBorder="1" applyAlignment="1">
      <alignment vertical="center"/>
    </xf>
    <xf numFmtId="0" fontId="8" fillId="0" borderId="0" xfId="3" applyFont="1" applyFill="1" applyBorder="1" applyAlignment="1">
      <alignment vertical="center"/>
    </xf>
    <xf numFmtId="0" fontId="8" fillId="0" borderId="0" xfId="3" applyFont="1" applyFill="1" applyAlignment="1">
      <alignment horizontal="center" vertical="center"/>
    </xf>
    <xf numFmtId="49" fontId="8" fillId="6" borderId="0" xfId="3" applyNumberFormat="1" applyFont="1" applyFill="1" applyBorder="1" applyAlignment="1" applyProtection="1">
      <alignment vertical="center" wrapText="1"/>
      <protection locked="0"/>
    </xf>
    <xf numFmtId="0" fontId="8" fillId="6" borderId="0" xfId="3" applyFont="1" applyFill="1" applyBorder="1"/>
    <xf numFmtId="0" fontId="0" fillId="9" borderId="0" xfId="0" applyFill="1" applyBorder="1"/>
    <xf numFmtId="0" fontId="2" fillId="8" borderId="0" xfId="0" applyFont="1" applyFill="1" applyBorder="1" applyAlignment="1"/>
    <xf numFmtId="0" fontId="0" fillId="9" borderId="0" xfId="0" applyFill="1"/>
    <xf numFmtId="173" fontId="12" fillId="0" borderId="1" xfId="0" applyNumberFormat="1" applyFont="1" applyFill="1" applyBorder="1" applyAlignment="1" applyProtection="1">
      <alignment horizontal="left" vertical="center" wrapText="1"/>
      <protection locked="0"/>
    </xf>
    <xf numFmtId="0" fontId="0" fillId="0" borderId="0" xfId="0" applyFill="1" applyProtection="1"/>
    <xf numFmtId="0" fontId="0" fillId="9" borderId="0" xfId="0" applyFill="1" applyAlignment="1" applyProtection="1"/>
    <xf numFmtId="0" fontId="11" fillId="7" borderId="1" xfId="0" applyFont="1" applyFill="1" applyBorder="1" applyAlignment="1" applyProtection="1">
      <alignment horizontal="left" vertical="top"/>
    </xf>
    <xf numFmtId="0" fontId="16" fillId="8" borderId="1" xfId="0" applyFont="1" applyFill="1" applyBorder="1" applyAlignment="1" applyProtection="1">
      <alignment horizontal="center" vertical="center" wrapText="1"/>
    </xf>
    <xf numFmtId="0" fontId="17" fillId="8" borderId="1" xfId="0" applyFont="1" applyFill="1" applyBorder="1" applyAlignment="1" applyProtection="1">
      <alignment horizontal="center" vertical="center" wrapText="1"/>
    </xf>
    <xf numFmtId="0" fontId="12" fillId="9" borderId="30" xfId="0" applyFont="1" applyFill="1" applyBorder="1" applyAlignment="1" applyProtection="1">
      <alignment horizontal="center" vertical="center" wrapText="1"/>
    </xf>
    <xf numFmtId="1" fontId="12" fillId="9" borderId="30" xfId="0" applyNumberFormat="1" applyFont="1" applyFill="1" applyBorder="1" applyAlignment="1" applyProtection="1">
      <alignment vertical="center" wrapText="1"/>
    </xf>
    <xf numFmtId="0" fontId="12" fillId="9" borderId="33" xfId="0" applyFont="1" applyFill="1" applyBorder="1" applyAlignment="1" applyProtection="1">
      <alignment horizontal="center" vertical="center" wrapText="1"/>
    </xf>
    <xf numFmtId="1" fontId="12" fillId="9" borderId="33" xfId="0" applyNumberFormat="1" applyFont="1" applyFill="1" applyBorder="1" applyAlignment="1" applyProtection="1">
      <alignment vertical="center" wrapText="1"/>
    </xf>
    <xf numFmtId="0" fontId="0" fillId="0" borderId="0" xfId="0" applyFill="1" applyProtection="1">
      <protection locked="0"/>
    </xf>
    <xf numFmtId="0" fontId="0" fillId="0" borderId="0" xfId="0" applyFill="1" applyAlignment="1" applyProtection="1">
      <alignment horizontal="center" vertical="top"/>
    </xf>
    <xf numFmtId="0" fontId="11" fillId="7" borderId="2" xfId="0" applyFont="1" applyFill="1" applyBorder="1" applyAlignment="1" applyProtection="1">
      <alignment horizontal="left" vertical="top"/>
    </xf>
    <xf numFmtId="0" fontId="12" fillId="9" borderId="30" xfId="0" applyFont="1" applyFill="1" applyBorder="1" applyAlignment="1" applyProtection="1">
      <alignment horizontal="center" vertical="center" wrapText="1"/>
      <protection locked="0"/>
    </xf>
    <xf numFmtId="1" fontId="12" fillId="9" borderId="30" xfId="0" applyNumberFormat="1" applyFont="1" applyFill="1" applyBorder="1" applyAlignment="1" applyProtection="1">
      <alignment vertical="center" wrapText="1"/>
      <protection locked="0"/>
    </xf>
    <xf numFmtId="0" fontId="12" fillId="9" borderId="33" xfId="0" applyFont="1" applyFill="1" applyBorder="1" applyAlignment="1" applyProtection="1">
      <alignment horizontal="center" vertical="center" wrapText="1"/>
      <protection locked="0"/>
    </xf>
    <xf numFmtId="1" fontId="12" fillId="9" borderId="33" xfId="0" applyNumberFormat="1" applyFont="1" applyFill="1" applyBorder="1" applyAlignment="1" applyProtection="1">
      <alignment vertical="center" wrapText="1"/>
      <protection locked="0"/>
    </xf>
    <xf numFmtId="0" fontId="0" fillId="0" borderId="0" xfId="0" applyFill="1" applyBorder="1" applyAlignment="1" applyProtection="1">
      <alignment vertical="top"/>
      <protection locked="0"/>
    </xf>
    <xf numFmtId="1" fontId="12" fillId="0" borderId="21" xfId="0" applyNumberFormat="1" applyFont="1" applyFill="1" applyBorder="1" applyAlignment="1" applyProtection="1">
      <alignment vertical="center" wrapText="1"/>
      <protection locked="0"/>
    </xf>
    <xf numFmtId="0" fontId="0" fillId="0" borderId="0" xfId="0" applyFill="1" applyAlignment="1" applyProtection="1">
      <alignment horizontal="center" vertical="top"/>
      <protection locked="0"/>
    </xf>
    <xf numFmtId="1" fontId="12" fillId="0" borderId="0" xfId="0" applyNumberFormat="1" applyFont="1" applyFill="1" applyBorder="1" applyAlignment="1" applyProtection="1">
      <alignment vertical="center" wrapText="1"/>
      <protection locked="0"/>
    </xf>
    <xf numFmtId="0" fontId="6" fillId="0" borderId="0" xfId="3" applyFont="1" applyFill="1" applyProtection="1"/>
    <xf numFmtId="0" fontId="2" fillId="0" borderId="0" xfId="3" applyFill="1" applyAlignment="1" applyProtection="1">
      <alignment wrapText="1"/>
    </xf>
    <xf numFmtId="0" fontId="2" fillId="0" borderId="0" xfId="3" applyFill="1" applyAlignment="1" applyProtection="1">
      <alignment horizontal="left" vertical="top"/>
    </xf>
    <xf numFmtId="0" fontId="2" fillId="0" borderId="0" xfId="3" applyFill="1" applyProtection="1"/>
    <xf numFmtId="0" fontId="2" fillId="0" borderId="0" xfId="3" applyFill="1" applyProtection="1">
      <protection locked="0"/>
    </xf>
    <xf numFmtId="0" fontId="2" fillId="0" borderId="0" xfId="3" applyFill="1" applyAlignment="1" applyProtection="1">
      <alignment horizontal="center" vertical="top"/>
    </xf>
    <xf numFmtId="0" fontId="11" fillId="7" borderId="3" xfId="3" applyFont="1" applyFill="1" applyBorder="1" applyAlignment="1" applyProtection="1">
      <alignment horizontal="left" vertical="top"/>
    </xf>
    <xf numFmtId="175" fontId="11" fillId="7" borderId="2" xfId="3" applyNumberFormat="1" applyFont="1" applyFill="1" applyBorder="1" applyAlignment="1" applyProtection="1">
      <alignment horizontal="left" vertical="top"/>
    </xf>
    <xf numFmtId="0" fontId="6" fillId="8" borderId="1" xfId="3" applyFont="1" applyFill="1" applyBorder="1" applyAlignment="1" applyProtection="1">
      <alignment horizontal="left" vertical="center"/>
    </xf>
    <xf numFmtId="0" fontId="6" fillId="8" borderId="1" xfId="3" applyFont="1" applyFill="1" applyBorder="1" applyAlignment="1" applyProtection="1">
      <alignment horizontal="left" vertical="center" wrapText="1"/>
    </xf>
    <xf numFmtId="0" fontId="6" fillId="8" borderId="1" xfId="3" applyFont="1" applyFill="1" applyBorder="1" applyAlignment="1" applyProtection="1">
      <alignment vertical="center" wrapText="1"/>
    </xf>
    <xf numFmtId="0" fontId="2" fillId="8" borderId="0" xfId="3" applyFill="1" applyBorder="1" applyAlignment="1" applyProtection="1">
      <alignment vertical="center"/>
      <protection locked="0"/>
    </xf>
    <xf numFmtId="168" fontId="6" fillId="0" borderId="21" xfId="3" applyNumberFormat="1" applyFont="1" applyFill="1" applyBorder="1" applyAlignment="1" applyProtection="1">
      <alignment horizontal="left" vertical="center"/>
      <protection locked="0"/>
    </xf>
    <xf numFmtId="168" fontId="6" fillId="0" borderId="27" xfId="3" applyNumberFormat="1" applyFont="1" applyFill="1" applyBorder="1" applyAlignment="1" applyProtection="1">
      <alignment horizontal="left" vertical="center"/>
      <protection locked="0"/>
    </xf>
    <xf numFmtId="0" fontId="6" fillId="8" borderId="4" xfId="3" applyFont="1" applyFill="1" applyBorder="1" applyAlignment="1" applyProtection="1">
      <alignment vertical="center" wrapText="1"/>
    </xf>
    <xf numFmtId="0" fontId="11" fillId="7" borderId="2" xfId="3" applyFont="1" applyFill="1" applyBorder="1" applyAlignment="1" applyProtection="1">
      <alignment horizontal="left" vertical="top"/>
    </xf>
    <xf numFmtId="0" fontId="2" fillId="9" borderId="0" xfId="3" applyFont="1" applyFill="1" applyAlignment="1" applyProtection="1">
      <alignment horizontal="left" vertical="top"/>
    </xf>
    <xf numFmtId="0" fontId="2" fillId="9" borderId="0" xfId="3" applyFont="1" applyFill="1" applyBorder="1" applyAlignment="1" applyProtection="1">
      <alignment horizontal="left" vertical="top" wrapText="1"/>
    </xf>
    <xf numFmtId="49" fontId="6" fillId="0" borderId="1" xfId="3" applyNumberFormat="1" applyFont="1" applyFill="1" applyBorder="1" applyAlignment="1" applyProtection="1">
      <alignment horizontal="left" vertical="center" wrapText="1"/>
      <protection locked="0"/>
    </xf>
    <xf numFmtId="0" fontId="6" fillId="0" borderId="0" xfId="3" applyFont="1" applyFill="1" applyProtection="1">
      <protection locked="0"/>
    </xf>
    <xf numFmtId="0" fontId="2" fillId="0" borderId="0" xfId="3" applyFill="1" applyAlignment="1" applyProtection="1">
      <alignment wrapText="1"/>
      <protection locked="0"/>
    </xf>
    <xf numFmtId="0" fontId="2" fillId="0" borderId="46" xfId="3" applyFont="1" applyFill="1" applyBorder="1" applyProtection="1"/>
    <xf numFmtId="0" fontId="2" fillId="0" borderId="0" xfId="3" applyFill="1" applyBorder="1" applyAlignment="1" applyProtection="1"/>
    <xf numFmtId="0" fontId="2" fillId="0" borderId="53" xfId="3" applyFont="1" applyFill="1" applyBorder="1" applyAlignment="1" applyProtection="1"/>
    <xf numFmtId="0" fontId="2" fillId="0" borderId="53" xfId="3" applyNumberFormat="1" applyFont="1" applyFill="1" applyBorder="1" applyAlignment="1" applyProtection="1"/>
    <xf numFmtId="0" fontId="2" fillId="0" borderId="51" xfId="3" applyFont="1" applyFill="1" applyBorder="1" applyAlignment="1" applyProtection="1"/>
    <xf numFmtId="0" fontId="2" fillId="0" borderId="0" xfId="3" applyFill="1" applyBorder="1" applyAlignment="1" applyProtection="1">
      <protection locked="0"/>
    </xf>
    <xf numFmtId="0" fontId="2" fillId="0" borderId="0" xfId="3" applyFill="1" applyAlignment="1" applyProtection="1">
      <alignment horizontal="center" vertical="top"/>
    </xf>
    <xf numFmtId="0" fontId="18" fillId="0" borderId="2" xfId="3" applyFont="1" applyFill="1" applyBorder="1" applyAlignment="1" applyProtection="1">
      <alignment horizontal="center" vertical="center"/>
    </xf>
    <xf numFmtId="0" fontId="18" fillId="0" borderId="8" xfId="3" applyFont="1" applyFill="1" applyBorder="1" applyAlignment="1" applyProtection="1">
      <alignment horizontal="center" vertical="center"/>
    </xf>
    <xf numFmtId="0" fontId="18" fillId="0" borderId="12" xfId="3" applyFont="1" applyFill="1" applyBorder="1" applyAlignment="1" applyProtection="1">
      <alignment horizontal="center" vertical="center"/>
    </xf>
    <xf numFmtId="0" fontId="19" fillId="0" borderId="8" xfId="3" applyFont="1" applyFill="1" applyBorder="1" applyAlignment="1" applyProtection="1">
      <alignment horizontal="center" vertical="center"/>
    </xf>
    <xf numFmtId="0" fontId="20" fillId="7" borderId="2" xfId="3" applyFont="1" applyFill="1" applyBorder="1" applyAlignment="1" applyProtection="1">
      <alignment horizontal="justify" vertical="center" wrapText="1"/>
    </xf>
    <xf numFmtId="0" fontId="20" fillId="7" borderId="8" xfId="3" applyFont="1" applyFill="1" applyBorder="1" applyAlignment="1" applyProtection="1">
      <alignment horizontal="justify" vertical="center" wrapText="1"/>
    </xf>
    <xf numFmtId="0" fontId="20" fillId="7" borderId="12" xfId="3" applyFont="1" applyFill="1" applyBorder="1" applyAlignment="1" applyProtection="1">
      <alignment horizontal="justify" vertical="center" wrapText="1"/>
    </xf>
    <xf numFmtId="0" fontId="20" fillId="0" borderId="8" xfId="3" applyFont="1" applyFill="1" applyBorder="1" applyAlignment="1" applyProtection="1">
      <alignment horizontal="center" vertical="center" wrapText="1"/>
    </xf>
    <xf numFmtId="49" fontId="11" fillId="7" borderId="2" xfId="3" applyNumberFormat="1" applyFont="1" applyFill="1" applyBorder="1" applyAlignment="1" applyProtection="1">
      <alignment horizontal="center" vertical="center"/>
    </xf>
    <xf numFmtId="49" fontId="11" fillId="7" borderId="8" xfId="3" applyNumberFormat="1" applyFont="1" applyFill="1" applyBorder="1" applyAlignment="1" applyProtection="1">
      <alignment horizontal="center" vertical="center"/>
    </xf>
    <xf numFmtId="49" fontId="11" fillId="7" borderId="12" xfId="3" applyNumberFormat="1" applyFont="1" applyFill="1" applyBorder="1" applyAlignment="1" applyProtection="1">
      <alignment horizontal="center" vertical="center"/>
    </xf>
    <xf numFmtId="0" fontId="6" fillId="8" borderId="36" xfId="3" applyFont="1" applyFill="1" applyBorder="1" applyAlignment="1" applyProtection="1">
      <alignment horizontal="left" vertical="center"/>
    </xf>
    <xf numFmtId="0" fontId="6" fillId="8" borderId="37" xfId="3" applyFont="1" applyFill="1" applyBorder="1" applyAlignment="1" applyProtection="1">
      <alignment horizontal="left" vertical="center"/>
    </xf>
    <xf numFmtId="0" fontId="6" fillId="8" borderId="38" xfId="3" applyFont="1" applyFill="1" applyBorder="1" applyAlignment="1" applyProtection="1">
      <alignment horizontal="left" vertical="center"/>
    </xf>
    <xf numFmtId="49" fontId="6" fillId="0" borderId="39" xfId="3" applyNumberFormat="1" applyFont="1" applyFill="1" applyBorder="1" applyAlignment="1" applyProtection="1">
      <alignment horizontal="left" vertical="center" wrapText="1"/>
      <protection locked="0"/>
    </xf>
    <xf numFmtId="49" fontId="6" fillId="0" borderId="40" xfId="3" applyNumberFormat="1" applyFont="1" applyFill="1" applyBorder="1" applyAlignment="1" applyProtection="1">
      <alignment horizontal="left" vertical="center" wrapText="1"/>
      <protection locked="0"/>
    </xf>
    <xf numFmtId="49" fontId="6" fillId="0" borderId="59" xfId="3" applyNumberFormat="1" applyFont="1" applyFill="1" applyBorder="1" applyAlignment="1" applyProtection="1">
      <alignment horizontal="left" vertical="center" wrapText="1"/>
      <protection locked="0"/>
    </xf>
    <xf numFmtId="0" fontId="6" fillId="8" borderId="41" xfId="3" applyFont="1" applyFill="1" applyBorder="1" applyAlignment="1" applyProtection="1">
      <alignment horizontal="left" vertical="center"/>
    </xf>
    <xf numFmtId="0" fontId="6" fillId="8" borderId="42" xfId="3" applyFont="1" applyFill="1" applyBorder="1" applyAlignment="1" applyProtection="1">
      <alignment horizontal="left" vertical="center"/>
    </xf>
    <xf numFmtId="0" fontId="6" fillId="8" borderId="43" xfId="3" applyFont="1" applyFill="1" applyBorder="1" applyAlignment="1" applyProtection="1">
      <alignment horizontal="left" vertical="center"/>
    </xf>
    <xf numFmtId="49" fontId="6" fillId="0" borderId="35" xfId="3" applyNumberFormat="1" applyFont="1" applyFill="1" applyBorder="1" applyAlignment="1" applyProtection="1">
      <alignment horizontal="left" vertical="center" wrapText="1"/>
      <protection locked="0"/>
    </xf>
    <xf numFmtId="49" fontId="6" fillId="0" borderId="33" xfId="3" applyNumberFormat="1" applyFont="1" applyFill="1" applyBorder="1" applyAlignment="1" applyProtection="1">
      <alignment horizontal="left" vertical="center" wrapText="1"/>
      <protection locked="0"/>
    </xf>
    <xf numFmtId="49" fontId="6" fillId="0" borderId="60" xfId="3" applyNumberFormat="1" applyFont="1" applyFill="1" applyBorder="1" applyAlignment="1" applyProtection="1">
      <alignment horizontal="left" vertical="center" wrapText="1"/>
      <protection locked="0"/>
    </xf>
    <xf numFmtId="0" fontId="6" fillId="8" borderId="44" xfId="3" applyFont="1" applyFill="1" applyBorder="1" applyAlignment="1" applyProtection="1">
      <alignment horizontal="left" vertical="center"/>
    </xf>
    <xf numFmtId="49" fontId="6" fillId="0" borderId="35" xfId="3" applyNumberFormat="1" applyFont="1" applyFill="1" applyBorder="1" applyAlignment="1" applyProtection="1">
      <alignment horizontal="left" vertical="center"/>
      <protection locked="0"/>
    </xf>
    <xf numFmtId="49" fontId="6" fillId="0" borderId="33" xfId="3" applyNumberFormat="1" applyFont="1" applyFill="1" applyBorder="1" applyAlignment="1" applyProtection="1">
      <alignment horizontal="left" vertical="center"/>
      <protection locked="0"/>
    </xf>
    <xf numFmtId="49" fontId="6" fillId="0" borderId="60" xfId="3" applyNumberFormat="1" applyFont="1" applyFill="1" applyBorder="1" applyAlignment="1" applyProtection="1">
      <alignment horizontal="left" vertical="center"/>
      <protection locked="0"/>
    </xf>
    <xf numFmtId="49" fontId="6" fillId="0" borderId="45" xfId="3" applyNumberFormat="1" applyFont="1" applyFill="1" applyBorder="1" applyAlignment="1" applyProtection="1">
      <alignment horizontal="left" vertical="center" wrapText="1"/>
      <protection locked="0"/>
    </xf>
    <xf numFmtId="49" fontId="21" fillId="0" borderId="47" xfId="1" applyNumberFormat="1" applyFill="1" applyBorder="1" applyAlignment="1" applyProtection="1">
      <alignment horizontal="left" vertical="center" wrapText="1"/>
      <protection locked="0"/>
    </xf>
    <xf numFmtId="49" fontId="6" fillId="0" borderId="61" xfId="3" applyNumberFormat="1" applyFont="1" applyFill="1" applyBorder="1" applyAlignment="1" applyProtection="1">
      <alignment horizontal="left" vertical="center" wrapText="1"/>
      <protection locked="0"/>
    </xf>
    <xf numFmtId="0" fontId="20" fillId="8" borderId="36" xfId="3" applyFont="1" applyFill="1" applyBorder="1" applyAlignment="1" applyProtection="1">
      <alignment horizontal="justify" vertical="center"/>
    </xf>
    <xf numFmtId="0" fontId="20" fillId="8" borderId="37" xfId="3" applyFont="1" applyFill="1" applyBorder="1" applyAlignment="1" applyProtection="1">
      <alignment horizontal="justify" vertical="center"/>
    </xf>
    <xf numFmtId="0" fontId="20" fillId="8" borderId="38" xfId="3" applyFont="1" applyFill="1" applyBorder="1" applyAlignment="1" applyProtection="1">
      <alignment horizontal="justify" vertical="center"/>
    </xf>
    <xf numFmtId="49" fontId="2" fillId="7" borderId="36" xfId="3" applyNumberFormat="1" applyFont="1" applyFill="1" applyBorder="1" applyAlignment="1" applyProtection="1">
      <alignment horizontal="center" vertical="center" wrapText="1"/>
    </xf>
    <xf numFmtId="49" fontId="2" fillId="7" borderId="37" xfId="3" applyNumberFormat="1" applyFont="1" applyFill="1" applyBorder="1" applyAlignment="1" applyProtection="1">
      <alignment horizontal="center" vertical="center"/>
    </xf>
    <xf numFmtId="49" fontId="2" fillId="7" borderId="38" xfId="3" applyNumberFormat="1" applyFont="1" applyFill="1" applyBorder="1" applyAlignment="1" applyProtection="1">
      <alignment horizontal="center" vertical="center"/>
    </xf>
    <xf numFmtId="49" fontId="22" fillId="9" borderId="39" xfId="3" applyNumberFormat="1" applyFont="1" applyFill="1" applyBorder="1" applyAlignment="1" applyProtection="1">
      <alignment horizontal="left" vertical="center" wrapText="1"/>
      <protection locked="0"/>
    </xf>
    <xf numFmtId="49" fontId="22" fillId="9" borderId="40" xfId="3" applyNumberFormat="1" applyFont="1" applyFill="1" applyBorder="1" applyAlignment="1" applyProtection="1">
      <alignment horizontal="left" vertical="center" wrapText="1"/>
      <protection locked="0"/>
    </xf>
    <xf numFmtId="49" fontId="22" fillId="9" borderId="59" xfId="3" applyNumberFormat="1" applyFont="1" applyFill="1" applyBorder="1" applyAlignment="1" applyProtection="1">
      <alignment horizontal="left" vertical="center" wrapText="1"/>
      <protection locked="0"/>
    </xf>
    <xf numFmtId="49" fontId="22" fillId="0" borderId="18" xfId="3" applyNumberFormat="1" applyFont="1" applyFill="1" applyBorder="1" applyAlignment="1" applyProtection="1">
      <alignment horizontal="left" vertical="center" wrapText="1"/>
      <protection locked="0"/>
    </xf>
    <xf numFmtId="49" fontId="22" fillId="0" borderId="19" xfId="3" applyNumberFormat="1" applyFont="1" applyFill="1" applyBorder="1" applyAlignment="1" applyProtection="1">
      <alignment horizontal="left" vertical="center" wrapText="1"/>
      <protection locked="0"/>
    </xf>
    <xf numFmtId="49" fontId="22" fillId="0" borderId="26" xfId="3" applyNumberFormat="1" applyFont="1" applyFill="1" applyBorder="1" applyAlignment="1" applyProtection="1">
      <alignment horizontal="left" vertical="center" wrapText="1"/>
      <protection locked="0"/>
    </xf>
    <xf numFmtId="49" fontId="6" fillId="9" borderId="47" xfId="3" applyNumberFormat="1" applyFont="1" applyFill="1" applyBorder="1" applyAlignment="1" applyProtection="1">
      <alignment horizontal="left" vertical="center" wrapText="1"/>
      <protection locked="0"/>
    </xf>
    <xf numFmtId="49" fontId="6" fillId="9" borderId="54" xfId="3" applyNumberFormat="1" applyFont="1" applyFill="1" applyBorder="1" applyAlignment="1" applyProtection="1">
      <alignment horizontal="left" vertical="center" wrapText="1"/>
      <protection locked="0"/>
    </xf>
    <xf numFmtId="168" fontId="6" fillId="0" borderId="36" xfId="3" applyNumberFormat="1" applyFont="1" applyFill="1" applyBorder="1" applyAlignment="1" applyProtection="1">
      <alignment horizontal="left" vertical="center"/>
      <protection locked="0"/>
    </xf>
    <xf numFmtId="168" fontId="6" fillId="0" borderId="38" xfId="3" applyNumberFormat="1" applyFont="1" applyFill="1" applyBorder="1" applyAlignment="1" applyProtection="1">
      <alignment horizontal="left" vertical="center"/>
      <protection locked="0"/>
    </xf>
    <xf numFmtId="0" fontId="2" fillId="7" borderId="36" xfId="3" applyFont="1" applyFill="1" applyBorder="1" applyAlignment="1" applyProtection="1">
      <alignment horizontal="center" vertical="center" wrapText="1"/>
    </xf>
    <xf numFmtId="0" fontId="2" fillId="7" borderId="37" xfId="3" applyFont="1" applyFill="1" applyBorder="1" applyAlignment="1" applyProtection="1">
      <alignment horizontal="center" vertical="center" wrapText="1"/>
    </xf>
    <xf numFmtId="0" fontId="2" fillId="7" borderId="38" xfId="3" applyFont="1" applyFill="1" applyBorder="1" applyAlignment="1" applyProtection="1">
      <alignment horizontal="center" vertical="center" wrapText="1"/>
    </xf>
    <xf numFmtId="0" fontId="6" fillId="8" borderId="1" xfId="3" applyFont="1" applyFill="1" applyBorder="1" applyAlignment="1" applyProtection="1">
      <alignment horizontal="left" vertical="center" wrapText="1"/>
    </xf>
    <xf numFmtId="49" fontId="6" fillId="9" borderId="13" xfId="3" applyNumberFormat="1" applyFont="1" applyFill="1" applyBorder="1" applyAlignment="1" applyProtection="1">
      <alignment horizontal="left" vertical="center" wrapText="1"/>
      <protection locked="0"/>
    </xf>
    <xf numFmtId="49" fontId="6" fillId="9" borderId="17" xfId="3" applyNumberFormat="1" applyFont="1" applyFill="1" applyBorder="1" applyAlignment="1" applyProtection="1">
      <alignment horizontal="left" vertical="center" wrapText="1"/>
      <protection locked="0"/>
    </xf>
    <xf numFmtId="49" fontId="6" fillId="9" borderId="14" xfId="3" applyNumberFormat="1" applyFont="1" applyFill="1" applyBorder="1" applyAlignment="1" applyProtection="1">
      <alignment horizontal="left" vertical="center" wrapText="1"/>
      <protection locked="0"/>
    </xf>
    <xf numFmtId="176" fontId="6" fillId="0" borderId="39" xfId="3" applyNumberFormat="1" applyFont="1" applyFill="1" applyBorder="1" applyAlignment="1" applyProtection="1">
      <alignment horizontal="left" vertical="center" wrapText="1"/>
      <protection locked="0"/>
    </xf>
    <xf numFmtId="176" fontId="6" fillId="0" borderId="59" xfId="3" applyNumberFormat="1" applyFont="1" applyFill="1" applyBorder="1" applyAlignment="1" applyProtection="1">
      <alignment horizontal="left" vertical="center" wrapText="1"/>
      <protection locked="0"/>
    </xf>
    <xf numFmtId="49" fontId="6" fillId="9" borderId="22" xfId="3" applyNumberFormat="1" applyFont="1" applyFill="1" applyBorder="1" applyAlignment="1" applyProtection="1">
      <alignment horizontal="left" vertical="center" wrapText="1"/>
      <protection locked="0"/>
    </xf>
    <xf numFmtId="49" fontId="6" fillId="9" borderId="23" xfId="3" applyNumberFormat="1" applyFont="1" applyFill="1" applyBorder="1" applyAlignment="1" applyProtection="1">
      <alignment horizontal="left" vertical="center" wrapText="1"/>
      <protection locked="0"/>
    </xf>
    <xf numFmtId="49" fontId="6" fillId="9" borderId="28" xfId="3" applyNumberFormat="1" applyFont="1" applyFill="1" applyBorder="1" applyAlignment="1" applyProtection="1">
      <alignment horizontal="left" vertical="center" wrapText="1"/>
      <protection locked="0"/>
    </xf>
    <xf numFmtId="49" fontId="6" fillId="9" borderId="18" xfId="3" applyNumberFormat="1" applyFont="1" applyFill="1" applyBorder="1" applyAlignment="1" applyProtection="1">
      <alignment horizontal="left" vertical="center" wrapText="1"/>
      <protection locked="0"/>
    </xf>
    <xf numFmtId="49" fontId="6" fillId="9" borderId="19" xfId="3" applyNumberFormat="1" applyFont="1" applyFill="1" applyBorder="1" applyAlignment="1" applyProtection="1">
      <alignment horizontal="left" vertical="center" wrapText="1"/>
      <protection locked="0"/>
    </xf>
    <xf numFmtId="49" fontId="6" fillId="9" borderId="26" xfId="3" applyNumberFormat="1" applyFont="1" applyFill="1" applyBorder="1" applyAlignment="1" applyProtection="1">
      <alignment horizontal="left" vertical="center" wrapText="1"/>
      <protection locked="0"/>
    </xf>
    <xf numFmtId="49" fontId="6" fillId="9" borderId="20" xfId="3" applyNumberFormat="1" applyFont="1" applyFill="1" applyBorder="1" applyAlignment="1" applyProtection="1">
      <alignment horizontal="left" vertical="center" wrapText="1"/>
      <protection locked="0"/>
    </xf>
    <xf numFmtId="49" fontId="6" fillId="9" borderId="21" xfId="3" applyNumberFormat="1" applyFont="1" applyFill="1" applyBorder="1" applyAlignment="1" applyProtection="1">
      <alignment horizontal="left" vertical="center" wrapText="1"/>
      <protection locked="0"/>
    </xf>
    <xf numFmtId="49" fontId="6" fillId="9" borderId="27" xfId="3" applyNumberFormat="1" applyFont="1" applyFill="1" applyBorder="1" applyAlignment="1" applyProtection="1">
      <alignment horizontal="left" vertical="center" wrapText="1"/>
      <protection locked="0"/>
    </xf>
    <xf numFmtId="49" fontId="6" fillId="9" borderId="35" xfId="3" applyNumberFormat="1" applyFont="1" applyFill="1" applyBorder="1" applyAlignment="1" applyProtection="1">
      <alignment horizontal="left" vertical="center" wrapText="1"/>
      <protection locked="0"/>
    </xf>
    <xf numFmtId="49" fontId="6" fillId="9" borderId="34" xfId="3" applyNumberFormat="1" applyFont="1" applyFill="1" applyBorder="1" applyAlignment="1" applyProtection="1">
      <alignment horizontal="left" vertical="center" wrapText="1"/>
      <protection locked="0"/>
    </xf>
    <xf numFmtId="0" fontId="6" fillId="8" borderId="36" xfId="3" applyFont="1" applyFill="1" applyBorder="1" applyAlignment="1" applyProtection="1">
      <alignment horizontal="left" vertical="center" wrapText="1"/>
    </xf>
    <xf numFmtId="0" fontId="6" fillId="8" borderId="38" xfId="3" applyFont="1" applyFill="1" applyBorder="1" applyAlignment="1" applyProtection="1">
      <alignment horizontal="left" vertical="center" wrapText="1"/>
    </xf>
    <xf numFmtId="49" fontId="6" fillId="0" borderId="41" xfId="3" applyNumberFormat="1" applyFont="1" applyFill="1" applyBorder="1" applyAlignment="1" applyProtection="1">
      <alignment horizontal="left" vertical="center" wrapText="1"/>
      <protection locked="0"/>
    </xf>
    <xf numFmtId="49" fontId="6" fillId="0" borderId="42" xfId="3" applyNumberFormat="1" applyFont="1" applyFill="1" applyBorder="1" applyAlignment="1" applyProtection="1">
      <alignment horizontal="left" vertical="center" wrapText="1"/>
      <protection locked="0"/>
    </xf>
    <xf numFmtId="49" fontId="6" fillId="0" borderId="49" xfId="3" applyNumberFormat="1" applyFont="1" applyFill="1" applyBorder="1" applyAlignment="1" applyProtection="1">
      <alignment horizontal="left" vertical="center" wrapText="1"/>
      <protection locked="0"/>
    </xf>
    <xf numFmtId="49" fontId="6" fillId="0" borderId="62" xfId="3" applyNumberFormat="1" applyFont="1" applyFill="1" applyBorder="1" applyAlignment="1" applyProtection="1">
      <alignment horizontal="left" vertical="center" wrapText="1"/>
      <protection locked="0"/>
    </xf>
    <xf numFmtId="0" fontId="11" fillId="7" borderId="44" xfId="3" applyFont="1" applyFill="1" applyBorder="1" applyAlignment="1" applyProtection="1">
      <alignment horizontal="center" vertical="center"/>
    </xf>
    <xf numFmtId="0" fontId="11" fillId="7" borderId="37" xfId="3" applyFont="1" applyFill="1" applyBorder="1" applyAlignment="1" applyProtection="1">
      <alignment horizontal="center" vertical="center"/>
    </xf>
    <xf numFmtId="0" fontId="11" fillId="7" borderId="55" xfId="3" applyFont="1" applyFill="1" applyBorder="1" applyAlignment="1" applyProtection="1">
      <alignment horizontal="center" vertical="center"/>
    </xf>
    <xf numFmtId="0" fontId="11" fillId="7" borderId="38" xfId="3" applyFont="1" applyFill="1" applyBorder="1" applyAlignment="1" applyProtection="1">
      <alignment horizontal="center" vertical="center"/>
    </xf>
    <xf numFmtId="0" fontId="6" fillId="8" borderId="2" xfId="3" applyFont="1" applyFill="1" applyBorder="1" applyAlignment="1" applyProtection="1">
      <alignment horizontal="left" vertical="center"/>
    </xf>
    <xf numFmtId="0" fontId="6" fillId="8" borderId="8" xfId="3" applyFont="1" applyFill="1" applyBorder="1" applyAlignment="1" applyProtection="1">
      <alignment horizontal="left" vertical="center"/>
    </xf>
    <xf numFmtId="0" fontId="6" fillId="8" borderId="12" xfId="3" applyFont="1" applyFill="1" applyBorder="1" applyAlignment="1" applyProtection="1">
      <alignment horizontal="left" vertical="center"/>
    </xf>
    <xf numFmtId="49" fontId="22" fillId="9" borderId="56" xfId="3" applyNumberFormat="1" applyFont="1" applyFill="1" applyBorder="1" applyAlignment="1" applyProtection="1">
      <alignment horizontal="left" vertical="center"/>
      <protection locked="0"/>
    </xf>
    <xf numFmtId="49" fontId="22" fillId="9" borderId="57" xfId="3" applyNumberFormat="1" applyFont="1" applyFill="1" applyBorder="1" applyAlignment="1" applyProtection="1">
      <alignment horizontal="left" vertical="center"/>
      <protection locked="0"/>
    </xf>
    <xf numFmtId="49" fontId="22" fillId="9" borderId="63" xfId="3" applyNumberFormat="1" applyFont="1" applyFill="1" applyBorder="1" applyAlignment="1" applyProtection="1">
      <alignment horizontal="left" vertical="center"/>
      <protection locked="0"/>
    </xf>
    <xf numFmtId="0" fontId="22" fillId="8" borderId="36" xfId="3" applyFont="1" applyFill="1" applyBorder="1" applyAlignment="1" applyProtection="1">
      <alignment horizontal="left" vertical="center"/>
    </xf>
    <xf numFmtId="0" fontId="22" fillId="8" borderId="37" xfId="3" applyFont="1" applyFill="1" applyBorder="1" applyAlignment="1" applyProtection="1">
      <alignment horizontal="left" vertical="center"/>
    </xf>
    <xf numFmtId="0" fontId="22" fillId="8" borderId="38" xfId="3" applyFont="1" applyFill="1" applyBorder="1" applyAlignment="1" applyProtection="1">
      <alignment horizontal="left" vertical="center"/>
    </xf>
    <xf numFmtId="0" fontId="6" fillId="9" borderId="41" xfId="3" applyFont="1" applyFill="1" applyBorder="1" applyAlignment="1" applyProtection="1">
      <alignment horizontal="left" vertical="center"/>
      <protection locked="0"/>
    </xf>
    <xf numFmtId="0" fontId="6" fillId="9" borderId="42" xfId="3" applyFont="1" applyFill="1" applyBorder="1" applyAlignment="1" applyProtection="1">
      <alignment horizontal="left" vertical="center"/>
      <protection locked="0"/>
    </xf>
    <xf numFmtId="0" fontId="6" fillId="9" borderId="43" xfId="3" applyFont="1" applyFill="1" applyBorder="1" applyAlignment="1" applyProtection="1">
      <alignment horizontal="left" vertical="center"/>
      <protection locked="0"/>
    </xf>
    <xf numFmtId="49" fontId="6" fillId="9" borderId="36" xfId="3" applyNumberFormat="1" applyFont="1" applyFill="1" applyBorder="1" applyAlignment="1" applyProtection="1">
      <alignment horizontal="left" vertical="center" wrapText="1"/>
      <protection locked="0"/>
    </xf>
    <xf numFmtId="49" fontId="6" fillId="9" borderId="37" xfId="3" applyNumberFormat="1" applyFont="1" applyFill="1" applyBorder="1" applyAlignment="1" applyProtection="1">
      <alignment horizontal="left" vertical="center" wrapText="1"/>
      <protection locked="0"/>
    </xf>
    <xf numFmtId="49" fontId="6" fillId="9" borderId="38" xfId="3" applyNumberFormat="1" applyFont="1" applyFill="1" applyBorder="1" applyAlignment="1" applyProtection="1">
      <alignment horizontal="left" vertical="center" wrapText="1"/>
      <protection locked="0"/>
    </xf>
    <xf numFmtId="0" fontId="2" fillId="9" borderId="2" xfId="3" applyFont="1" applyFill="1" applyBorder="1" applyAlignment="1" applyProtection="1">
      <alignment horizontal="center" vertical="top"/>
    </xf>
    <xf numFmtId="0" fontId="2" fillId="9" borderId="8" xfId="3" applyFont="1" applyFill="1" applyBorder="1" applyAlignment="1" applyProtection="1">
      <alignment horizontal="center" vertical="top"/>
    </xf>
    <xf numFmtId="0" fontId="2" fillId="9" borderId="12" xfId="3" applyFont="1" applyFill="1" applyBorder="1" applyAlignment="1" applyProtection="1">
      <alignment horizontal="center" vertical="top"/>
    </xf>
    <xf numFmtId="49" fontId="6" fillId="9" borderId="2" xfId="3" applyNumberFormat="1" applyFont="1" applyFill="1" applyBorder="1" applyAlignment="1" applyProtection="1">
      <alignment horizontal="left" vertical="center" wrapText="1"/>
      <protection locked="0"/>
    </xf>
    <xf numFmtId="49" fontId="6" fillId="9" borderId="8" xfId="3" applyNumberFormat="1" applyFont="1" applyFill="1" applyBorder="1" applyAlignment="1" applyProtection="1">
      <alignment horizontal="left" vertical="center" wrapText="1"/>
      <protection locked="0"/>
    </xf>
    <xf numFmtId="49" fontId="6" fillId="9" borderId="12" xfId="3" applyNumberFormat="1" applyFont="1" applyFill="1" applyBorder="1" applyAlignment="1" applyProtection="1">
      <alignment horizontal="left" vertical="center" wrapText="1"/>
      <protection locked="0"/>
    </xf>
    <xf numFmtId="0" fontId="6" fillId="8" borderId="1" xfId="3" applyFont="1" applyFill="1" applyBorder="1" applyAlignment="1" applyProtection="1">
      <alignment horizontal="left" vertical="center"/>
    </xf>
    <xf numFmtId="0" fontId="2" fillId="9" borderId="6" xfId="3" applyFont="1" applyFill="1" applyBorder="1" applyAlignment="1" applyProtection="1">
      <alignment horizontal="center" vertical="top" wrapText="1"/>
    </xf>
    <xf numFmtId="0" fontId="2" fillId="9" borderId="16" xfId="3" applyFont="1" applyFill="1" applyBorder="1" applyAlignment="1" applyProtection="1">
      <alignment horizontal="center" vertical="top" wrapText="1"/>
    </xf>
    <xf numFmtId="0" fontId="2" fillId="9" borderId="9" xfId="3" applyFont="1" applyFill="1" applyBorder="1" applyAlignment="1" applyProtection="1">
      <alignment horizontal="center" vertical="top" wrapText="1"/>
    </xf>
    <xf numFmtId="0" fontId="2" fillId="9" borderId="10" xfId="3" applyFont="1" applyFill="1" applyBorder="1" applyAlignment="1" applyProtection="1">
      <alignment horizontal="center" vertical="top" wrapText="1"/>
    </xf>
    <xf numFmtId="0" fontId="6" fillId="8" borderId="2" xfId="3" applyFont="1" applyFill="1" applyBorder="1" applyAlignment="1" applyProtection="1">
      <alignment horizontal="left" vertical="center" wrapText="1"/>
    </xf>
    <xf numFmtId="0" fontId="6" fillId="8" borderId="8" xfId="3" applyFont="1" applyFill="1" applyBorder="1" applyAlignment="1" applyProtection="1">
      <alignment horizontal="left" vertical="center" wrapText="1"/>
    </xf>
    <xf numFmtId="0" fontId="6" fillId="8" borderId="12" xfId="3" applyFont="1" applyFill="1" applyBorder="1" applyAlignment="1" applyProtection="1">
      <alignment horizontal="left" vertical="center" wrapText="1"/>
    </xf>
    <xf numFmtId="0" fontId="2" fillId="9" borderId="2" xfId="3" applyFont="1" applyFill="1" applyBorder="1" applyAlignment="1" applyProtection="1">
      <alignment horizontal="center" vertical="top" wrapText="1"/>
    </xf>
    <xf numFmtId="0" fontId="2" fillId="9" borderId="8" xfId="3" applyFont="1" applyFill="1" applyBorder="1" applyAlignment="1" applyProtection="1">
      <alignment horizontal="center" vertical="top" wrapText="1"/>
    </xf>
    <xf numFmtId="0" fontId="2" fillId="9" borderId="12" xfId="3" applyFont="1" applyFill="1" applyBorder="1" applyAlignment="1" applyProtection="1">
      <alignment horizontal="center" vertical="top" wrapText="1"/>
    </xf>
    <xf numFmtId="0" fontId="2" fillId="9" borderId="10" xfId="3" applyFont="1" applyFill="1" applyBorder="1" applyAlignment="1" applyProtection="1">
      <alignment horizontal="left" vertical="top" wrapText="1"/>
    </xf>
    <xf numFmtId="0" fontId="2" fillId="9" borderId="4" xfId="3" applyFont="1" applyFill="1" applyBorder="1" applyAlignment="1" applyProtection="1">
      <alignment horizontal="left" vertical="top" wrapText="1"/>
    </xf>
    <xf numFmtId="0" fontId="16" fillId="8" borderId="1" xfId="3" applyFont="1" applyFill="1" applyBorder="1" applyAlignment="1" applyProtection="1">
      <alignment horizontal="justify" vertical="center" wrapText="1"/>
    </xf>
    <xf numFmtId="0" fontId="23" fillId="8" borderId="2" xfId="3" applyFont="1" applyFill="1" applyBorder="1" applyAlignment="1" applyProtection="1">
      <alignment horizontal="center" vertical="center"/>
    </xf>
    <xf numFmtId="0" fontId="23" fillId="8" borderId="8" xfId="3" applyFont="1" applyFill="1" applyBorder="1" applyAlignment="1" applyProtection="1">
      <alignment horizontal="center" vertical="center"/>
    </xf>
    <xf numFmtId="0" fontId="23" fillId="8" borderId="12" xfId="3" applyFont="1" applyFill="1" applyBorder="1" applyAlignment="1" applyProtection="1">
      <alignment horizontal="center" vertical="center"/>
    </xf>
    <xf numFmtId="0" fontId="23" fillId="8" borderId="2" xfId="3" applyFont="1" applyFill="1" applyBorder="1" applyAlignment="1" applyProtection="1">
      <alignment horizontal="center" vertical="center" wrapText="1"/>
    </xf>
    <xf numFmtId="0" fontId="6" fillId="8" borderId="1" xfId="3" applyFont="1" applyFill="1" applyBorder="1" applyAlignment="1" applyProtection="1">
      <alignment horizontal="justify" vertical="center" wrapText="1"/>
    </xf>
    <xf numFmtId="170" fontId="6" fillId="0" borderId="39" xfId="3" applyNumberFormat="1" applyFont="1" applyFill="1" applyBorder="1" applyAlignment="1" applyProtection="1">
      <alignment horizontal="right" vertical="center" wrapText="1"/>
      <protection locked="0"/>
    </xf>
    <xf numFmtId="170" fontId="6" fillId="0" borderId="40" xfId="3" applyNumberFormat="1" applyFont="1" applyFill="1" applyBorder="1" applyAlignment="1" applyProtection="1">
      <alignment horizontal="right" vertical="center" wrapText="1"/>
      <protection locked="0"/>
    </xf>
    <xf numFmtId="170" fontId="6" fillId="0" borderId="59" xfId="3" applyNumberFormat="1" applyFont="1" applyFill="1" applyBorder="1" applyAlignment="1" applyProtection="1">
      <alignment horizontal="right" vertical="center" wrapText="1"/>
      <protection locked="0"/>
    </xf>
    <xf numFmtId="170" fontId="6" fillId="0" borderId="35" xfId="3" applyNumberFormat="1" applyFont="1" applyFill="1" applyBorder="1" applyAlignment="1" applyProtection="1">
      <alignment horizontal="right" vertical="center" wrapText="1"/>
      <protection locked="0"/>
    </xf>
    <xf numFmtId="170" fontId="6" fillId="0" borderId="33" xfId="3" applyNumberFormat="1" applyFont="1" applyFill="1" applyBorder="1" applyAlignment="1" applyProtection="1">
      <alignment horizontal="right" vertical="center" wrapText="1"/>
      <protection locked="0"/>
    </xf>
    <xf numFmtId="170" fontId="6" fillId="0" borderId="60" xfId="3" applyNumberFormat="1" applyFont="1" applyFill="1" applyBorder="1" applyAlignment="1" applyProtection="1">
      <alignment horizontal="right" vertical="center" wrapText="1"/>
      <protection locked="0"/>
    </xf>
    <xf numFmtId="170" fontId="6" fillId="0" borderId="47" xfId="3" applyNumberFormat="1" applyFont="1" applyFill="1" applyBorder="1" applyAlignment="1" applyProtection="1">
      <alignment horizontal="right" vertical="center" wrapText="1"/>
      <protection locked="0"/>
    </xf>
    <xf numFmtId="170" fontId="6" fillId="0" borderId="45" xfId="3" applyNumberFormat="1" applyFont="1" applyFill="1" applyBorder="1" applyAlignment="1" applyProtection="1">
      <alignment horizontal="right" vertical="center" wrapText="1"/>
      <protection locked="0"/>
    </xf>
    <xf numFmtId="170" fontId="6" fillId="0" borderId="61" xfId="3" applyNumberFormat="1" applyFont="1" applyFill="1" applyBorder="1" applyAlignment="1" applyProtection="1">
      <alignment horizontal="right" vertical="center" wrapText="1"/>
      <protection locked="0"/>
    </xf>
    <xf numFmtId="170" fontId="23" fillId="8" borderId="2" xfId="3" applyNumberFormat="1" applyFont="1" applyFill="1" applyBorder="1" applyAlignment="1" applyProtection="1">
      <alignment horizontal="center" vertical="center" wrapText="1"/>
    </xf>
    <xf numFmtId="170" fontId="23" fillId="8" borderId="12" xfId="3" applyNumberFormat="1" applyFont="1" applyFill="1" applyBorder="1" applyAlignment="1" applyProtection="1">
      <alignment horizontal="center" vertical="center" wrapText="1"/>
    </xf>
    <xf numFmtId="0" fontId="6" fillId="9" borderId="6" xfId="3" applyFont="1" applyFill="1" applyBorder="1" applyAlignment="1" applyProtection="1">
      <alignment vertical="center" wrapText="1"/>
      <protection locked="0"/>
    </xf>
    <xf numFmtId="0" fontId="22" fillId="8" borderId="1" xfId="3" applyFont="1" applyFill="1" applyBorder="1" applyAlignment="1" applyProtection="1">
      <alignment horizontal="justify" vertical="center" wrapText="1"/>
    </xf>
    <xf numFmtId="49" fontId="6" fillId="9" borderId="58" xfId="3" applyNumberFormat="1" applyFont="1" applyFill="1" applyBorder="1" applyAlignment="1" applyProtection="1">
      <alignment horizontal="left" vertical="center" wrapText="1"/>
      <protection locked="0"/>
    </xf>
    <xf numFmtId="49" fontId="6" fillId="9" borderId="0" xfId="3" applyNumberFormat="1" applyFont="1" applyFill="1" applyBorder="1" applyAlignment="1" applyProtection="1">
      <alignment horizontal="left" vertical="center" wrapText="1"/>
      <protection locked="0"/>
    </xf>
    <xf numFmtId="170" fontId="6" fillId="0" borderId="34" xfId="3" applyNumberFormat="1" applyFont="1" applyFill="1" applyBorder="1" applyAlignment="1" applyProtection="1">
      <alignment horizontal="right" vertical="center" wrapText="1"/>
      <protection locked="0"/>
    </xf>
    <xf numFmtId="170" fontId="6" fillId="8" borderId="1" xfId="3" applyNumberFormat="1" applyFont="1" applyFill="1" applyBorder="1" applyAlignment="1" applyProtection="1">
      <alignment horizontal="center" vertical="center" wrapText="1"/>
    </xf>
    <xf numFmtId="49" fontId="6" fillId="9" borderId="56" xfId="3" applyNumberFormat="1" applyFont="1" applyFill="1" applyBorder="1" applyAlignment="1" applyProtection="1">
      <alignment horizontal="left" vertical="center" wrapText="1"/>
      <protection locked="0"/>
    </xf>
    <xf numFmtId="49" fontId="6" fillId="9" borderId="57" xfId="3" applyNumberFormat="1" applyFont="1" applyFill="1" applyBorder="1" applyAlignment="1" applyProtection="1">
      <alignment horizontal="left" vertical="center" wrapText="1"/>
      <protection locked="0"/>
    </xf>
    <xf numFmtId="170" fontId="6" fillId="0" borderId="45" xfId="3" applyNumberFormat="1" applyFont="1" applyFill="1" applyBorder="1" applyAlignment="1" applyProtection="1">
      <alignment horizontal="right" vertical="center"/>
      <protection locked="0"/>
    </xf>
    <xf numFmtId="170" fontId="6" fillId="0" borderId="57" xfId="3" applyNumberFormat="1" applyFont="1" applyFill="1" applyBorder="1" applyAlignment="1" applyProtection="1">
      <alignment horizontal="right" vertical="center"/>
      <protection locked="0"/>
    </xf>
    <xf numFmtId="170" fontId="6" fillId="0" borderId="63" xfId="3" applyNumberFormat="1" applyFont="1" applyFill="1" applyBorder="1" applyAlignment="1" applyProtection="1">
      <alignment horizontal="right" vertical="center"/>
      <protection locked="0"/>
    </xf>
    <xf numFmtId="0" fontId="23" fillId="8" borderId="1" xfId="3" applyFont="1" applyFill="1" applyBorder="1" applyAlignment="1" applyProtection="1">
      <alignment horizontal="left" vertical="center" wrapText="1"/>
    </xf>
    <xf numFmtId="170" fontId="23" fillId="8" borderId="2" xfId="3" applyNumberFormat="1" applyFont="1" applyFill="1" applyBorder="1" applyAlignment="1" applyProtection="1">
      <alignment horizontal="right" vertical="center"/>
    </xf>
    <xf numFmtId="170" fontId="23" fillId="8" borderId="8" xfId="3" applyNumberFormat="1" applyFont="1" applyFill="1" applyBorder="1" applyAlignment="1" applyProtection="1">
      <alignment horizontal="right" vertical="center"/>
    </xf>
    <xf numFmtId="170" fontId="6" fillId="8" borderId="8" xfId="3" applyNumberFormat="1" applyFont="1" applyFill="1" applyBorder="1" applyAlignment="1" applyProtection="1">
      <alignment horizontal="center" vertical="center"/>
    </xf>
    <xf numFmtId="170" fontId="6" fillId="8" borderId="12" xfId="3" applyNumberFormat="1" applyFont="1" applyFill="1" applyBorder="1" applyAlignment="1" applyProtection="1">
      <alignment horizontal="center" vertical="center"/>
    </xf>
    <xf numFmtId="0" fontId="16" fillId="8" borderId="1" xfId="3" applyFont="1" applyFill="1" applyBorder="1" applyAlignment="1" applyProtection="1">
      <alignment horizontal="left" vertical="center" wrapText="1"/>
    </xf>
    <xf numFmtId="0" fontId="16" fillId="8" borderId="1" xfId="3" applyFont="1" applyFill="1" applyBorder="1" applyAlignment="1" applyProtection="1">
      <alignment horizontal="left" vertical="center"/>
    </xf>
    <xf numFmtId="0" fontId="23" fillId="8" borderId="11" xfId="3" applyFont="1" applyFill="1" applyBorder="1" applyAlignment="1" applyProtection="1">
      <alignment horizontal="center" vertical="center"/>
    </xf>
    <xf numFmtId="0" fontId="23" fillId="8" borderId="6" xfId="3" applyFont="1" applyFill="1" applyBorder="1" applyAlignment="1" applyProtection="1">
      <alignment horizontal="center" vertical="center"/>
    </xf>
    <xf numFmtId="0" fontId="23" fillId="8" borderId="16" xfId="3" applyFont="1" applyFill="1" applyBorder="1" applyAlignment="1" applyProtection="1">
      <alignment horizontal="center" vertical="center"/>
    </xf>
    <xf numFmtId="0" fontId="22" fillId="8" borderId="2" xfId="3" applyFont="1" applyFill="1" applyBorder="1" applyAlignment="1" applyProtection="1">
      <alignment horizontal="justify" vertical="center" wrapText="1"/>
    </xf>
    <xf numFmtId="0" fontId="22" fillId="8" borderId="8" xfId="3" applyFont="1" applyFill="1" applyBorder="1" applyAlignment="1" applyProtection="1">
      <alignment horizontal="justify" vertical="center" wrapText="1"/>
    </xf>
    <xf numFmtId="0" fontId="22" fillId="8" borderId="12" xfId="3" applyFont="1" applyFill="1" applyBorder="1" applyAlignment="1" applyProtection="1">
      <alignment horizontal="justify" vertical="center" wrapText="1"/>
    </xf>
    <xf numFmtId="170" fontId="6" fillId="0" borderId="13" xfId="3" applyNumberFormat="1" applyFont="1" applyFill="1" applyBorder="1" applyAlignment="1" applyProtection="1">
      <alignment horizontal="right" vertical="center" wrapText="1"/>
      <protection locked="0"/>
    </xf>
    <xf numFmtId="170" fontId="6" fillId="0" borderId="14" xfId="3" applyNumberFormat="1" applyFont="1" applyFill="1" applyBorder="1" applyAlignment="1" applyProtection="1">
      <alignment horizontal="right" vertical="center" wrapText="1"/>
      <protection locked="0"/>
    </xf>
    <xf numFmtId="170" fontId="6" fillId="0" borderId="18" xfId="3" applyNumberFormat="1" applyFont="1" applyFill="1" applyBorder="1" applyAlignment="1" applyProtection="1">
      <alignment horizontal="right" vertical="center" wrapText="1"/>
      <protection locked="0"/>
    </xf>
    <xf numFmtId="170" fontId="6" fillId="0" borderId="26" xfId="3" applyNumberFormat="1" applyFont="1" applyFill="1" applyBorder="1" applyAlignment="1" applyProtection="1">
      <alignment horizontal="right" vertical="center" wrapText="1"/>
      <protection locked="0"/>
    </xf>
    <xf numFmtId="0" fontId="6" fillId="8" borderId="9" xfId="3" applyFont="1" applyFill="1" applyBorder="1" applyAlignment="1" applyProtection="1">
      <alignment horizontal="left" vertical="center" wrapText="1"/>
    </xf>
    <xf numFmtId="0" fontId="6" fillId="8" borderId="10" xfId="3" applyFont="1" applyFill="1" applyBorder="1" applyAlignment="1" applyProtection="1">
      <alignment horizontal="left" vertical="center" wrapText="1"/>
    </xf>
    <xf numFmtId="49" fontId="6" fillId="9" borderId="44" xfId="3" applyNumberFormat="1" applyFont="1" applyFill="1" applyBorder="1" applyAlignment="1" applyProtection="1">
      <alignment horizontal="left" vertical="center" wrapText="1"/>
      <protection locked="0"/>
    </xf>
    <xf numFmtId="170" fontId="6" fillId="0" borderId="25" xfId="3" applyNumberFormat="1" applyFont="1" applyFill="1" applyBorder="1" applyAlignment="1" applyProtection="1">
      <alignment horizontal="right" vertical="center" wrapText="1"/>
      <protection locked="0"/>
    </xf>
    <xf numFmtId="170" fontId="6" fillId="0" borderId="29" xfId="3" applyNumberFormat="1" applyFont="1" applyFill="1" applyBorder="1" applyAlignment="1" applyProtection="1">
      <alignment horizontal="right" vertical="center" wrapText="1"/>
      <protection locked="0"/>
    </xf>
    <xf numFmtId="0" fontId="6" fillId="8" borderId="2" xfId="3" applyFont="1" applyFill="1" applyBorder="1" applyAlignment="1" applyProtection="1">
      <alignment vertical="center"/>
    </xf>
    <xf numFmtId="0" fontId="6" fillId="8" borderId="8" xfId="3" applyFont="1" applyFill="1" applyBorder="1" applyAlignment="1" applyProtection="1">
      <alignment vertical="center"/>
    </xf>
    <xf numFmtId="0" fontId="6" fillId="8" borderId="12" xfId="3" applyFont="1" applyFill="1" applyBorder="1" applyAlignment="1" applyProtection="1">
      <alignment vertical="center"/>
    </xf>
    <xf numFmtId="49" fontId="24" fillId="9" borderId="11" xfId="3" applyNumberFormat="1" applyFont="1" applyFill="1" applyBorder="1" applyAlignment="1" applyProtection="1">
      <alignment horizontal="center" vertical="top" wrapText="1"/>
    </xf>
    <xf numFmtId="49" fontId="24" fillId="9" borderId="6" xfId="3" applyNumberFormat="1" applyFont="1" applyFill="1" applyBorder="1" applyAlignment="1" applyProtection="1">
      <alignment horizontal="center" vertical="top" wrapText="1"/>
    </xf>
    <xf numFmtId="49" fontId="24" fillId="9" borderId="16" xfId="3" applyNumberFormat="1" applyFont="1" applyFill="1" applyBorder="1" applyAlignment="1" applyProtection="1">
      <alignment horizontal="center" vertical="top" wrapText="1"/>
    </xf>
    <xf numFmtId="49" fontId="24" fillId="9" borderId="58" xfId="3" applyNumberFormat="1" applyFont="1" applyFill="1" applyBorder="1" applyAlignment="1" applyProtection="1">
      <alignment horizontal="left" vertical="top"/>
    </xf>
    <xf numFmtId="49" fontId="24" fillId="9" borderId="0" xfId="3" applyNumberFormat="1" applyFont="1" applyFill="1" applyBorder="1" applyAlignment="1" applyProtection="1">
      <alignment horizontal="left" vertical="top"/>
    </xf>
    <xf numFmtId="49" fontId="24" fillId="9" borderId="15" xfId="3" applyNumberFormat="1" applyFont="1" applyFill="1" applyBorder="1" applyAlignment="1" applyProtection="1">
      <alignment horizontal="left" vertical="top"/>
    </xf>
    <xf numFmtId="49" fontId="23" fillId="8" borderId="2" xfId="3" applyNumberFormat="1" applyFont="1" applyFill="1" applyBorder="1" applyAlignment="1" applyProtection="1">
      <alignment horizontal="center" vertical="center"/>
    </xf>
    <xf numFmtId="49" fontId="23" fillId="8" borderId="8" xfId="3" applyNumberFormat="1" applyFont="1" applyFill="1" applyBorder="1" applyAlignment="1" applyProtection="1">
      <alignment horizontal="center" vertical="center"/>
    </xf>
    <xf numFmtId="49" fontId="23" fillId="8" borderId="12" xfId="3" applyNumberFormat="1" applyFont="1" applyFill="1" applyBorder="1" applyAlignment="1" applyProtection="1">
      <alignment horizontal="center" vertical="center"/>
    </xf>
    <xf numFmtId="49" fontId="2" fillId="9" borderId="2" xfId="3" applyNumberFormat="1" applyFont="1" applyFill="1" applyBorder="1" applyAlignment="1" applyProtection="1">
      <alignment horizontal="center" vertical="top"/>
    </xf>
    <xf numFmtId="49" fontId="2" fillId="9" borderId="8" xfId="3" applyNumberFormat="1" applyFont="1" applyFill="1" applyBorder="1" applyAlignment="1" applyProtection="1">
      <alignment horizontal="center" vertical="top"/>
    </xf>
    <xf numFmtId="49" fontId="2" fillId="9" borderId="12" xfId="3" applyNumberFormat="1" applyFont="1" applyFill="1" applyBorder="1" applyAlignment="1" applyProtection="1">
      <alignment horizontal="center" vertical="top"/>
    </xf>
    <xf numFmtId="170" fontId="6" fillId="9" borderId="17" xfId="3" applyNumberFormat="1" applyFont="1" applyFill="1" applyBorder="1" applyAlignment="1" applyProtection="1">
      <alignment horizontal="right" vertical="center" wrapText="1"/>
      <protection locked="0"/>
    </xf>
    <xf numFmtId="170" fontId="6" fillId="9" borderId="14" xfId="3" applyNumberFormat="1" applyFont="1" applyFill="1" applyBorder="1" applyAlignment="1" applyProtection="1">
      <alignment horizontal="right" vertical="center" wrapText="1"/>
      <protection locked="0"/>
    </xf>
    <xf numFmtId="170" fontId="6" fillId="9" borderId="25" xfId="3" applyNumberFormat="1" applyFont="1" applyFill="1" applyBorder="1" applyAlignment="1" applyProtection="1">
      <alignment horizontal="right" vertical="center" wrapText="1"/>
      <protection locked="0"/>
    </xf>
    <xf numFmtId="170" fontId="6" fillId="9" borderId="29" xfId="3" applyNumberFormat="1" applyFont="1" applyFill="1" applyBorder="1" applyAlignment="1" applyProtection="1">
      <alignment horizontal="right" vertical="center" wrapText="1"/>
      <protection locked="0"/>
    </xf>
    <xf numFmtId="0" fontId="11" fillId="7" borderId="1" xfId="3" applyFont="1" applyFill="1" applyBorder="1" applyAlignment="1" applyProtection="1">
      <alignment horizontal="center" vertical="center" wrapText="1"/>
    </xf>
    <xf numFmtId="49" fontId="6" fillId="0" borderId="32" xfId="3" applyNumberFormat="1" applyFont="1" applyFill="1" applyBorder="1" applyAlignment="1" applyProtection="1">
      <alignment horizontal="left" vertical="center" wrapText="1"/>
      <protection locked="0"/>
    </xf>
    <xf numFmtId="49" fontId="6" fillId="0" borderId="30" xfId="3" applyNumberFormat="1" applyFont="1" applyFill="1" applyBorder="1" applyAlignment="1" applyProtection="1">
      <alignment horizontal="left" vertical="center" wrapText="1"/>
      <protection locked="0"/>
    </xf>
    <xf numFmtId="49" fontId="6" fillId="0" borderId="64" xfId="3" applyNumberFormat="1" applyFont="1" applyFill="1" applyBorder="1" applyAlignment="1" applyProtection="1">
      <alignment horizontal="left" vertical="center" wrapText="1"/>
      <protection locked="0"/>
    </xf>
    <xf numFmtId="0" fontId="6" fillId="8" borderId="79" xfId="3" applyFont="1" applyFill="1" applyBorder="1" applyAlignment="1" applyProtection="1">
      <alignment horizontal="left" vertical="center"/>
    </xf>
    <xf numFmtId="0" fontId="6" fillId="8" borderId="80" xfId="3" applyFont="1" applyFill="1" applyBorder="1" applyAlignment="1" applyProtection="1">
      <alignment horizontal="left" vertical="center"/>
    </xf>
    <xf numFmtId="0" fontId="6" fillId="9" borderId="1" xfId="3" applyFont="1" applyFill="1" applyBorder="1" applyAlignment="1" applyProtection="1">
      <alignment horizontal="center"/>
    </xf>
    <xf numFmtId="1" fontId="6" fillId="0" borderId="39" xfId="3" applyNumberFormat="1" applyFont="1" applyFill="1" applyBorder="1" applyAlignment="1" applyProtection="1">
      <alignment horizontal="left" vertical="center" wrapText="1"/>
      <protection locked="0"/>
    </xf>
    <xf numFmtId="1" fontId="6" fillId="0" borderId="40" xfId="3" applyNumberFormat="1" applyFont="1" applyFill="1" applyBorder="1" applyAlignment="1" applyProtection="1">
      <alignment horizontal="left" vertical="center" wrapText="1"/>
      <protection locked="0"/>
    </xf>
    <xf numFmtId="1" fontId="6" fillId="0" borderId="59" xfId="3" applyNumberFormat="1" applyFont="1" applyFill="1" applyBorder="1" applyAlignment="1" applyProtection="1">
      <alignment horizontal="left" vertical="center" wrapText="1"/>
      <protection locked="0"/>
    </xf>
    <xf numFmtId="170" fontId="6" fillId="0" borderId="41" xfId="3" applyNumberFormat="1" applyFont="1" applyFill="1" applyBorder="1" applyAlignment="1" applyProtection="1">
      <alignment horizontal="left" vertical="center" wrapText="1"/>
      <protection locked="0"/>
    </xf>
    <xf numFmtId="170" fontId="6" fillId="0" borderId="65" xfId="3" applyNumberFormat="1" applyFont="1" applyFill="1" applyBorder="1" applyAlignment="1" applyProtection="1">
      <alignment horizontal="left" vertical="center" wrapText="1"/>
      <protection locked="0"/>
    </xf>
    <xf numFmtId="170" fontId="6" fillId="0" borderId="48" xfId="3" applyNumberFormat="1" applyFont="1" applyFill="1" applyBorder="1" applyAlignment="1" applyProtection="1">
      <alignment horizontal="left" vertical="center" wrapText="1"/>
      <protection locked="0"/>
    </xf>
    <xf numFmtId="170" fontId="6" fillId="0" borderId="62" xfId="3" applyNumberFormat="1" applyFont="1" applyFill="1" applyBorder="1" applyAlignment="1" applyProtection="1">
      <alignment horizontal="left" vertical="center" wrapText="1"/>
      <protection locked="0"/>
    </xf>
    <xf numFmtId="0" fontId="6" fillId="8" borderId="44" xfId="3" applyFont="1" applyFill="1" applyBorder="1" applyAlignment="1" applyProtection="1">
      <alignment horizontal="left"/>
    </xf>
    <xf numFmtId="0" fontId="6" fillId="8" borderId="37" xfId="3" applyFont="1" applyFill="1" applyBorder="1" applyAlignment="1" applyProtection="1">
      <alignment horizontal="left"/>
    </xf>
    <xf numFmtId="0" fontId="6" fillId="8" borderId="38" xfId="3" applyFont="1" applyFill="1" applyBorder="1" applyAlignment="1" applyProtection="1">
      <alignment horizontal="left"/>
    </xf>
    <xf numFmtId="177" fontId="2" fillId="8" borderId="11" xfId="3" applyNumberFormat="1" applyFont="1" applyFill="1" applyBorder="1" applyAlignment="1" applyProtection="1">
      <alignment horizontal="center" wrapText="1"/>
    </xf>
    <xf numFmtId="177" fontId="2" fillId="8" borderId="16" xfId="3" applyNumberFormat="1" applyFont="1" applyFill="1" applyBorder="1" applyAlignment="1" applyProtection="1">
      <alignment horizontal="center" wrapText="1"/>
    </xf>
    <xf numFmtId="49" fontId="6" fillId="0" borderId="0" xfId="3" applyNumberFormat="1" applyFont="1" applyFill="1" applyBorder="1" applyAlignment="1" applyProtection="1">
      <alignment horizontal="left" vertical="center" wrapText="1"/>
      <protection locked="0"/>
    </xf>
    <xf numFmtId="49" fontId="6" fillId="0" borderId="15" xfId="3" applyNumberFormat="1" applyFont="1" applyFill="1" applyBorder="1" applyAlignment="1" applyProtection="1">
      <alignment horizontal="left" vertical="center" wrapText="1"/>
      <protection locked="0"/>
    </xf>
    <xf numFmtId="0" fontId="6" fillId="8" borderId="8" xfId="3" applyFont="1" applyFill="1" applyBorder="1" applyAlignment="1" applyProtection="1">
      <alignment horizontal="justify" vertical="center" wrapText="1"/>
    </xf>
    <xf numFmtId="0" fontId="6" fillId="8" borderId="8" xfId="3" applyFont="1" applyFill="1" applyBorder="1" applyAlignment="1" applyProtection="1">
      <alignment horizontal="justify" vertical="center"/>
    </xf>
    <xf numFmtId="0" fontId="6" fillId="8" borderId="12" xfId="3" applyFont="1" applyFill="1" applyBorder="1" applyAlignment="1" applyProtection="1">
      <alignment horizontal="justify" vertical="center"/>
    </xf>
    <xf numFmtId="0" fontId="2" fillId="8" borderId="11" xfId="3" applyFont="1" applyFill="1" applyBorder="1" applyAlignment="1" applyProtection="1">
      <alignment horizontal="center" wrapText="1"/>
    </xf>
    <xf numFmtId="0" fontId="2" fillId="8" borderId="16" xfId="3" applyFont="1" applyFill="1" applyBorder="1" applyAlignment="1" applyProtection="1">
      <alignment horizontal="center" wrapText="1"/>
    </xf>
    <xf numFmtId="49" fontId="6" fillId="0" borderId="11" xfId="3" applyNumberFormat="1" applyFont="1" applyFill="1" applyBorder="1" applyAlignment="1" applyProtection="1">
      <alignment horizontal="left" vertical="center" wrapText="1"/>
      <protection locked="0"/>
    </xf>
    <xf numFmtId="49" fontId="6" fillId="0" borderId="6" xfId="3" applyNumberFormat="1" applyFont="1" applyFill="1" applyBorder="1" applyAlignment="1" applyProtection="1">
      <alignment horizontal="left" vertical="center" wrapText="1"/>
      <protection locked="0"/>
    </xf>
    <xf numFmtId="49" fontId="6" fillId="0" borderId="16" xfId="3" applyNumberFormat="1" applyFont="1" applyFill="1" applyBorder="1" applyAlignment="1" applyProtection="1">
      <alignment horizontal="left" vertical="center" wrapText="1"/>
      <protection locked="0"/>
    </xf>
    <xf numFmtId="0" fontId="23" fillId="8" borderId="16" xfId="3" applyFont="1" applyFill="1" applyBorder="1" applyAlignment="1" applyProtection="1">
      <alignment horizontal="left" vertical="center"/>
    </xf>
    <xf numFmtId="0" fontId="23" fillId="8" borderId="3" xfId="3" applyFont="1" applyFill="1" applyBorder="1" applyAlignment="1" applyProtection="1">
      <alignment horizontal="left" vertical="center"/>
    </xf>
    <xf numFmtId="0" fontId="6" fillId="0" borderId="66" xfId="3" applyFont="1" applyFill="1" applyBorder="1" applyAlignment="1" applyProtection="1">
      <alignment horizontal="center" vertical="center"/>
    </xf>
    <xf numFmtId="0" fontId="6" fillId="0" borderId="67" xfId="3" applyFont="1" applyFill="1" applyBorder="1" applyAlignment="1" applyProtection="1">
      <alignment horizontal="center" vertical="center"/>
    </xf>
    <xf numFmtId="0" fontId="6" fillId="0" borderId="68" xfId="3" applyFont="1" applyFill="1" applyBorder="1" applyAlignment="1" applyProtection="1">
      <alignment horizontal="center" vertical="center"/>
    </xf>
    <xf numFmtId="0" fontId="6" fillId="0" borderId="81" xfId="3" applyFont="1" applyFill="1" applyBorder="1" applyAlignment="1" applyProtection="1">
      <alignment horizontal="center" vertical="center"/>
    </xf>
    <xf numFmtId="0" fontId="6" fillId="0" borderId="69" xfId="3" applyFont="1" applyFill="1" applyBorder="1" applyAlignment="1" applyProtection="1">
      <alignment horizontal="center" vertical="center"/>
    </xf>
    <xf numFmtId="0" fontId="6" fillId="0" borderId="70" xfId="3" applyFont="1" applyFill="1" applyBorder="1" applyAlignment="1" applyProtection="1">
      <alignment horizontal="center" vertical="center"/>
    </xf>
    <xf numFmtId="49" fontId="6" fillId="0" borderId="2" xfId="0" applyNumberFormat="1" applyFont="1" applyFill="1" applyBorder="1" applyAlignment="1" applyProtection="1">
      <alignment horizontal="left" vertical="center"/>
      <protection locked="0"/>
    </xf>
    <xf numFmtId="49" fontId="6" fillId="0" borderId="8" xfId="0" applyNumberFormat="1" applyFont="1" applyFill="1" applyBorder="1" applyAlignment="1" applyProtection="1">
      <alignment horizontal="left" vertical="center"/>
      <protection locked="0"/>
    </xf>
    <xf numFmtId="49" fontId="6" fillId="0" borderId="12" xfId="0" applyNumberFormat="1" applyFont="1" applyFill="1" applyBorder="1" applyAlignment="1" applyProtection="1">
      <alignment horizontal="left" vertical="center"/>
      <protection locked="0"/>
    </xf>
    <xf numFmtId="0" fontId="6" fillId="0" borderId="71" xfId="3" applyFont="1" applyFill="1" applyBorder="1" applyAlignment="1" applyProtection="1">
      <alignment horizontal="center" vertical="center"/>
    </xf>
    <xf numFmtId="0" fontId="6" fillId="0" borderId="72" xfId="3" applyFont="1" applyFill="1" applyBorder="1" applyAlignment="1" applyProtection="1">
      <alignment horizontal="center" vertical="center"/>
    </xf>
    <xf numFmtId="0" fontId="6" fillId="0" borderId="73" xfId="3" applyFont="1" applyFill="1" applyBorder="1" applyAlignment="1" applyProtection="1">
      <alignment horizontal="center" vertical="center"/>
    </xf>
    <xf numFmtId="49" fontId="6" fillId="0" borderId="74" xfId="3" applyNumberFormat="1" applyFont="1" applyFill="1" applyBorder="1" applyAlignment="1" applyProtection="1">
      <alignment horizontal="left" vertical="center"/>
      <protection locked="0"/>
    </xf>
    <xf numFmtId="49" fontId="6" fillId="0" borderId="75" xfId="3" applyNumberFormat="1" applyFont="1" applyFill="1" applyBorder="1" applyAlignment="1" applyProtection="1">
      <alignment horizontal="left" vertical="center"/>
      <protection locked="0"/>
    </xf>
    <xf numFmtId="49" fontId="6" fillId="0" borderId="82" xfId="3" applyNumberFormat="1" applyFont="1" applyFill="1" applyBorder="1" applyAlignment="1" applyProtection="1">
      <alignment horizontal="left" vertical="center"/>
      <protection locked="0"/>
    </xf>
    <xf numFmtId="0" fontId="6" fillId="0" borderId="76" xfId="3" applyFont="1" applyFill="1" applyBorder="1" applyAlignment="1" applyProtection="1">
      <alignment horizontal="center" vertical="center"/>
    </xf>
    <xf numFmtId="0" fontId="6" fillId="0" borderId="77" xfId="3" applyFont="1" applyFill="1" applyBorder="1" applyAlignment="1" applyProtection="1">
      <alignment horizontal="center" vertical="center"/>
    </xf>
    <xf numFmtId="0" fontId="6" fillId="0" borderId="0" xfId="3" applyFont="1" applyFill="1" applyBorder="1" applyAlignment="1" applyProtection="1">
      <alignment horizontal="center" vertical="center"/>
    </xf>
    <xf numFmtId="0" fontId="6" fillId="0" borderId="15" xfId="3" applyFont="1" applyFill="1" applyBorder="1" applyAlignment="1" applyProtection="1">
      <alignment horizontal="center" vertical="center"/>
    </xf>
    <xf numFmtId="49" fontId="6" fillId="0" borderId="2" xfId="3" applyNumberFormat="1" applyFont="1" applyFill="1" applyBorder="1" applyAlignment="1" applyProtection="1">
      <alignment horizontal="left" vertical="center"/>
      <protection locked="0"/>
    </xf>
    <xf numFmtId="49" fontId="6" fillId="0" borderId="8" xfId="3" applyNumberFormat="1" applyFont="1" applyFill="1" applyBorder="1" applyAlignment="1" applyProtection="1">
      <alignment horizontal="left" vertical="center"/>
      <protection locked="0"/>
    </xf>
    <xf numFmtId="49" fontId="6" fillId="0" borderId="12" xfId="3" applyNumberFormat="1" applyFont="1" applyFill="1" applyBorder="1" applyAlignment="1" applyProtection="1">
      <alignment horizontal="left" vertical="center"/>
      <protection locked="0"/>
    </xf>
    <xf numFmtId="0" fontId="2" fillId="0" borderId="2" xfId="3" applyFont="1" applyFill="1" applyBorder="1" applyAlignment="1" applyProtection="1">
      <alignment horizontal="center" vertical="top"/>
    </xf>
    <xf numFmtId="0" fontId="2" fillId="0" borderId="8" xfId="3" applyFont="1" applyFill="1" applyBorder="1" applyAlignment="1" applyProtection="1">
      <alignment horizontal="center" vertical="top"/>
    </xf>
    <xf numFmtId="0" fontId="2" fillId="0" borderId="12" xfId="3" applyFont="1" applyFill="1" applyBorder="1" applyAlignment="1" applyProtection="1">
      <alignment horizontal="center" vertical="top"/>
    </xf>
    <xf numFmtId="0" fontId="23" fillId="8" borderId="1" xfId="3" applyFont="1" applyFill="1" applyBorder="1" applyAlignment="1" applyProtection="1">
      <alignment horizontal="left" vertical="center"/>
    </xf>
    <xf numFmtId="0" fontId="2" fillId="9" borderId="2" xfId="3" applyFont="1" applyFill="1" applyBorder="1" applyAlignment="1" applyProtection="1">
      <alignment horizontal="center"/>
    </xf>
    <xf numFmtId="0" fontId="2" fillId="9" borderId="8" xfId="3" applyFont="1" applyFill="1" applyBorder="1" applyAlignment="1" applyProtection="1">
      <alignment horizontal="center"/>
    </xf>
    <xf numFmtId="0" fontId="2" fillId="9" borderId="12" xfId="3" applyFont="1" applyFill="1" applyBorder="1" applyAlignment="1" applyProtection="1">
      <alignment horizontal="center"/>
    </xf>
    <xf numFmtId="0" fontId="6" fillId="8" borderId="10" xfId="3" applyFont="1" applyFill="1" applyBorder="1" applyAlignment="1" applyProtection="1">
      <alignment horizontal="left" vertical="center"/>
    </xf>
    <xf numFmtId="0" fontId="6" fillId="0" borderId="2" xfId="3" applyFont="1" applyFill="1" applyBorder="1" applyAlignment="1" applyProtection="1">
      <alignment horizontal="center" vertical="center"/>
    </xf>
    <xf numFmtId="0" fontId="6" fillId="0" borderId="12" xfId="3" applyFont="1" applyFill="1" applyBorder="1" applyAlignment="1" applyProtection="1">
      <alignment horizontal="center" vertical="center"/>
    </xf>
    <xf numFmtId="0" fontId="6" fillId="0" borderId="2" xfId="3" applyFont="1" applyFill="1" applyBorder="1" applyAlignment="1" applyProtection="1">
      <alignment horizontal="center" vertical="center" wrapText="1"/>
    </xf>
    <xf numFmtId="0" fontId="6" fillId="0" borderId="8" xfId="3" applyFont="1" applyFill="1" applyBorder="1" applyAlignment="1" applyProtection="1">
      <alignment horizontal="center" vertical="center" wrapText="1"/>
    </xf>
    <xf numFmtId="0" fontId="6" fillId="0" borderId="12" xfId="3" applyFont="1" applyFill="1" applyBorder="1" applyAlignment="1" applyProtection="1">
      <alignment horizontal="center" vertical="center" wrapText="1"/>
    </xf>
    <xf numFmtId="0" fontId="23" fillId="8" borderId="2" xfId="3" applyFont="1" applyFill="1" applyBorder="1" applyAlignment="1" applyProtection="1">
      <alignment horizontal="left" vertical="center"/>
    </xf>
    <xf numFmtId="0" fontId="23" fillId="8" borderId="8" xfId="3" applyFont="1" applyFill="1" applyBorder="1" applyAlignment="1" applyProtection="1">
      <alignment horizontal="left" vertical="center"/>
    </xf>
    <xf numFmtId="0" fontId="23" fillId="8" borderId="6" xfId="3" applyFont="1" applyFill="1" applyBorder="1" applyAlignment="1" applyProtection="1">
      <alignment horizontal="left" vertical="center"/>
    </xf>
    <xf numFmtId="0" fontId="6" fillId="8" borderId="78" xfId="3" applyFont="1" applyFill="1" applyBorder="1" applyAlignment="1" applyProtection="1">
      <alignment horizontal="left" vertical="center"/>
    </xf>
    <xf numFmtId="0" fontId="6" fillId="8" borderId="40" xfId="3" applyFont="1" applyFill="1" applyBorder="1" applyAlignment="1" applyProtection="1">
      <alignment horizontal="left" vertical="center"/>
    </xf>
    <xf numFmtId="0" fontId="6" fillId="8" borderId="59" xfId="3" applyFont="1" applyFill="1" applyBorder="1" applyAlignment="1" applyProtection="1">
      <alignment horizontal="left" vertical="center"/>
    </xf>
    <xf numFmtId="0" fontId="6" fillId="9" borderId="36" xfId="3" applyFont="1" applyFill="1" applyBorder="1" applyAlignment="1" applyProtection="1">
      <alignment horizontal="center"/>
    </xf>
    <xf numFmtId="0" fontId="6" fillId="9" borderId="37" xfId="3" applyFont="1" applyFill="1" applyBorder="1" applyAlignment="1" applyProtection="1">
      <alignment horizontal="center"/>
    </xf>
    <xf numFmtId="0" fontId="6" fillId="9" borderId="38" xfId="3" applyFont="1" applyFill="1" applyBorder="1" applyAlignment="1" applyProtection="1">
      <alignment horizontal="center"/>
    </xf>
    <xf numFmtId="0" fontId="6" fillId="9" borderId="8" xfId="3" applyFont="1" applyFill="1" applyBorder="1" applyAlignment="1" applyProtection="1">
      <alignment horizontal="center" vertical="center"/>
    </xf>
    <xf numFmtId="0" fontId="6" fillId="9" borderId="12" xfId="3" applyFont="1" applyFill="1" applyBorder="1" applyAlignment="1" applyProtection="1">
      <alignment horizontal="center" vertical="center"/>
    </xf>
    <xf numFmtId="0" fontId="6" fillId="9" borderId="8" xfId="3" applyFont="1" applyFill="1" applyBorder="1" applyAlignment="1" applyProtection="1">
      <alignment horizontal="center" vertical="top"/>
    </xf>
    <xf numFmtId="0" fontId="6" fillId="9" borderId="12" xfId="3" applyFont="1" applyFill="1" applyBorder="1" applyAlignment="1" applyProtection="1">
      <alignment horizontal="center" vertical="top"/>
    </xf>
    <xf numFmtId="0" fontId="2" fillId="0" borderId="36" xfId="3" applyFont="1" applyFill="1" applyBorder="1" applyAlignment="1" applyProtection="1">
      <alignment horizontal="center"/>
    </xf>
    <xf numFmtId="0" fontId="2" fillId="0" borderId="37" xfId="3" applyFont="1" applyFill="1" applyBorder="1" applyAlignment="1" applyProtection="1">
      <alignment horizontal="center"/>
    </xf>
    <xf numFmtId="0" fontId="2" fillId="0" borderId="38" xfId="3" applyFont="1" applyFill="1" applyBorder="1" applyAlignment="1" applyProtection="1">
      <alignment horizontal="center"/>
    </xf>
    <xf numFmtId="1" fontId="6" fillId="0" borderId="36" xfId="3" applyNumberFormat="1" applyFont="1" applyFill="1" applyBorder="1" applyAlignment="1" applyProtection="1">
      <alignment horizontal="left" vertical="center" wrapText="1"/>
      <protection locked="0"/>
    </xf>
    <xf numFmtId="1" fontId="6" fillId="0" borderId="37" xfId="3" applyNumberFormat="1" applyFont="1" applyFill="1" applyBorder="1" applyAlignment="1" applyProtection="1">
      <alignment horizontal="left" vertical="center" wrapText="1"/>
      <protection locked="0"/>
    </xf>
    <xf numFmtId="1" fontId="6" fillId="0" borderId="38" xfId="3" applyNumberFormat="1" applyFont="1" applyFill="1" applyBorder="1" applyAlignment="1" applyProtection="1">
      <alignment horizontal="left" vertical="center" wrapText="1"/>
      <protection locked="0"/>
    </xf>
    <xf numFmtId="0" fontId="2" fillId="0" borderId="83" xfId="3" applyFont="1" applyFill="1" applyBorder="1" applyAlignment="1" applyProtection="1">
      <alignment horizontal="center"/>
    </xf>
    <xf numFmtId="0" fontId="2" fillId="0" borderId="12" xfId="3" applyFont="1" applyFill="1" applyBorder="1" applyAlignment="1" applyProtection="1">
      <alignment horizontal="center"/>
    </xf>
    <xf numFmtId="0" fontId="2" fillId="7" borderId="1" xfId="3" applyFont="1" applyFill="1" applyBorder="1" applyAlignment="1" applyProtection="1">
      <alignment horizontal="center" vertical="center" wrapText="1"/>
    </xf>
    <xf numFmtId="0" fontId="2" fillId="7" borderId="1" xfId="3" applyFont="1" applyFill="1" applyBorder="1" applyAlignment="1" applyProtection="1">
      <alignment horizontal="center" vertical="center"/>
    </xf>
    <xf numFmtId="0" fontId="23" fillId="8" borderId="1" xfId="3" applyFont="1" applyFill="1" applyBorder="1" applyAlignment="1" applyProtection="1">
      <alignment horizontal="center" vertical="center"/>
    </xf>
    <xf numFmtId="168" fontId="6" fillId="0" borderId="39" xfId="3" applyNumberFormat="1" applyFont="1" applyFill="1" applyBorder="1" applyAlignment="1" applyProtection="1">
      <alignment horizontal="center" vertical="center" wrapText="1"/>
      <protection locked="0"/>
    </xf>
    <xf numFmtId="168" fontId="6" fillId="0" borderId="40" xfId="3" applyNumberFormat="1" applyFont="1" applyFill="1" applyBorder="1" applyAlignment="1" applyProtection="1">
      <alignment horizontal="center" vertical="center" wrapText="1"/>
      <protection locked="0"/>
    </xf>
    <xf numFmtId="168" fontId="6" fillId="0" borderId="35" xfId="3" applyNumberFormat="1" applyFont="1" applyFill="1" applyBorder="1" applyAlignment="1" applyProtection="1">
      <alignment horizontal="center" vertical="center" wrapText="1"/>
      <protection locked="0"/>
    </xf>
    <xf numFmtId="168" fontId="6" fillId="0" borderId="33" xfId="3" applyNumberFormat="1" applyFont="1" applyFill="1" applyBorder="1" applyAlignment="1" applyProtection="1">
      <alignment horizontal="center" vertical="center" wrapText="1"/>
      <protection locked="0"/>
    </xf>
    <xf numFmtId="168" fontId="6" fillId="0" borderId="48" xfId="3" applyNumberFormat="1" applyFont="1" applyFill="1" applyBorder="1" applyAlignment="1" applyProtection="1">
      <alignment horizontal="center" vertical="center" wrapText="1"/>
      <protection locked="0"/>
    </xf>
    <xf numFmtId="168" fontId="6" fillId="0" borderId="49" xfId="3" applyNumberFormat="1" applyFont="1" applyFill="1" applyBorder="1" applyAlignment="1" applyProtection="1">
      <alignment horizontal="center" vertical="center" wrapText="1"/>
      <protection locked="0"/>
    </xf>
    <xf numFmtId="170" fontId="6" fillId="0" borderId="49" xfId="3" applyNumberFormat="1" applyFont="1" applyFill="1" applyBorder="1" applyAlignment="1" applyProtection="1">
      <alignment horizontal="right" vertical="center" wrapText="1"/>
      <protection locked="0"/>
    </xf>
    <xf numFmtId="170" fontId="6" fillId="0" borderId="62" xfId="3" applyNumberFormat="1" applyFont="1" applyFill="1" applyBorder="1" applyAlignment="1" applyProtection="1">
      <alignment horizontal="right" vertical="center" wrapText="1"/>
      <protection locked="0"/>
    </xf>
    <xf numFmtId="0" fontId="1" fillId="0" borderId="0" xfId="3" applyFont="1" applyFill="1" applyBorder="1" applyAlignment="1" applyProtection="1">
      <alignment horizontal="center" vertical="top"/>
    </xf>
    <xf numFmtId="0" fontId="6" fillId="8" borderId="2" xfId="3" applyFont="1" applyFill="1" applyBorder="1" applyAlignment="1" applyProtection="1">
      <alignment horizontal="justify" vertical="center" wrapText="1"/>
    </xf>
    <xf numFmtId="0" fontId="6" fillId="8" borderId="12" xfId="3" applyFont="1" applyFill="1" applyBorder="1" applyAlignment="1" applyProtection="1">
      <alignment horizontal="justify" vertical="center" wrapText="1"/>
    </xf>
    <xf numFmtId="49" fontId="6" fillId="9" borderId="2" xfId="3" applyNumberFormat="1" applyFont="1" applyFill="1" applyBorder="1" applyAlignment="1" applyProtection="1">
      <alignment horizontal="left" vertical="top" wrapText="1"/>
      <protection locked="0"/>
    </xf>
    <xf numFmtId="49" fontId="6" fillId="9" borderId="8" xfId="3" applyNumberFormat="1" applyFont="1" applyFill="1" applyBorder="1" applyAlignment="1" applyProtection="1">
      <alignment horizontal="left" vertical="top" wrapText="1"/>
      <protection locked="0"/>
    </xf>
    <xf numFmtId="49" fontId="6" fillId="9" borderId="12" xfId="3" applyNumberFormat="1" applyFont="1" applyFill="1" applyBorder="1" applyAlignment="1" applyProtection="1">
      <alignment horizontal="left" vertical="top" wrapText="1"/>
      <protection locked="0"/>
    </xf>
    <xf numFmtId="0" fontId="2" fillId="9" borderId="0" xfId="3" applyFont="1" applyFill="1" applyAlignment="1" applyProtection="1">
      <alignment horizontal="center" vertical="top"/>
    </xf>
    <xf numFmtId="0" fontId="2" fillId="9" borderId="15" xfId="3" applyFont="1" applyFill="1" applyBorder="1" applyAlignment="1" applyProtection="1">
      <alignment horizontal="center" vertical="top"/>
    </xf>
    <xf numFmtId="0" fontId="20" fillId="7" borderId="11" xfId="3" applyFont="1" applyFill="1" applyBorder="1" applyAlignment="1" applyProtection="1">
      <alignment horizontal="justify" vertical="center" wrapText="1"/>
    </xf>
    <xf numFmtId="0" fontId="20" fillId="7" borderId="6" xfId="3" applyFont="1" applyFill="1" applyBorder="1" applyAlignment="1" applyProtection="1">
      <alignment horizontal="justify" vertical="center" wrapText="1"/>
    </xf>
    <xf numFmtId="0" fontId="20" fillId="7" borderId="16" xfId="3" applyFont="1" applyFill="1" applyBorder="1" applyAlignment="1" applyProtection="1">
      <alignment horizontal="justify" vertical="center" wrapText="1"/>
    </xf>
    <xf numFmtId="0" fontId="16" fillId="7" borderId="11" xfId="3" applyFont="1" applyFill="1" applyBorder="1" applyAlignment="1" applyProtection="1">
      <alignment horizontal="justify" vertical="center" wrapText="1"/>
    </xf>
    <xf numFmtId="0" fontId="16" fillId="7" borderId="6" xfId="3" applyFont="1" applyFill="1" applyBorder="1" applyAlignment="1" applyProtection="1">
      <alignment horizontal="justify" vertical="center" wrapText="1"/>
    </xf>
    <xf numFmtId="0" fontId="16" fillId="7" borderId="16" xfId="3" applyFont="1" applyFill="1" applyBorder="1" applyAlignment="1" applyProtection="1">
      <alignment horizontal="justify" vertical="center" wrapText="1"/>
    </xf>
    <xf numFmtId="0" fontId="16" fillId="7" borderId="1" xfId="3" applyFont="1" applyFill="1" applyBorder="1" applyAlignment="1" applyProtection="1">
      <alignment horizontal="justify" vertical="center" wrapText="1"/>
    </xf>
    <xf numFmtId="0" fontId="2" fillId="9" borderId="0" xfId="3" applyFont="1" applyFill="1" applyBorder="1" applyAlignment="1" applyProtection="1">
      <alignment horizontal="center" vertical="top" wrapText="1"/>
    </xf>
    <xf numFmtId="0" fontId="24" fillId="8" borderId="2" xfId="3" applyFont="1" applyFill="1" applyBorder="1" applyAlignment="1" applyProtection="1">
      <alignment horizontal="left" vertical="center"/>
    </xf>
    <xf numFmtId="0" fontId="24" fillId="8" borderId="8" xfId="3" applyFont="1" applyFill="1" applyBorder="1" applyAlignment="1" applyProtection="1">
      <alignment horizontal="left" vertical="center"/>
    </xf>
    <xf numFmtId="0" fontId="24" fillId="8" borderId="12" xfId="3" applyFont="1" applyFill="1" applyBorder="1" applyAlignment="1" applyProtection="1">
      <alignment horizontal="left" vertical="center"/>
    </xf>
    <xf numFmtId="0" fontId="22" fillId="8" borderId="2" xfId="3" applyFont="1" applyFill="1" applyBorder="1" applyAlignment="1" applyProtection="1">
      <alignment horizontal="left" vertical="center" wrapText="1"/>
    </xf>
    <xf numFmtId="0" fontId="22" fillId="8" borderId="8" xfId="3" applyFont="1" applyFill="1" applyBorder="1" applyAlignment="1" applyProtection="1">
      <alignment horizontal="left" vertical="center" wrapText="1"/>
    </xf>
    <xf numFmtId="0" fontId="22" fillId="8" borderId="12" xfId="3" applyFont="1" applyFill="1" applyBorder="1" applyAlignment="1" applyProtection="1">
      <alignment horizontal="left" vertical="center" wrapText="1"/>
    </xf>
    <xf numFmtId="0" fontId="22" fillId="8" borderId="1" xfId="3" applyFont="1" applyFill="1" applyBorder="1" applyAlignment="1" applyProtection="1">
      <alignment horizontal="left" vertical="center" wrapText="1"/>
    </xf>
    <xf numFmtId="0" fontId="11" fillId="7" borderId="3" xfId="3" applyFont="1" applyFill="1" applyBorder="1" applyAlignment="1" applyProtection="1">
      <alignment horizontal="left" vertical="top"/>
    </xf>
    <xf numFmtId="0" fontId="11" fillId="7" borderId="5" xfId="3" applyFont="1" applyFill="1" applyBorder="1" applyAlignment="1" applyProtection="1">
      <alignment horizontal="left" vertical="top"/>
    </xf>
    <xf numFmtId="0" fontId="11" fillId="7" borderId="4" xfId="3" applyFont="1" applyFill="1" applyBorder="1" applyAlignment="1" applyProtection="1">
      <alignment horizontal="left" vertical="top"/>
    </xf>
    <xf numFmtId="0" fontId="11" fillId="7" borderId="52" xfId="3" applyFont="1" applyFill="1" applyBorder="1" applyAlignment="1" applyProtection="1">
      <alignment horizontal="left" vertical="top"/>
    </xf>
    <xf numFmtId="0" fontId="11" fillId="7" borderId="53" xfId="3" applyFont="1" applyFill="1" applyBorder="1" applyAlignment="1" applyProtection="1">
      <alignment horizontal="left" vertical="top"/>
    </xf>
    <xf numFmtId="49" fontId="11" fillId="7" borderId="46" xfId="3" applyNumberFormat="1" applyFont="1" applyFill="1" applyBorder="1" applyAlignment="1" applyProtection="1">
      <alignment horizontal="left" vertical="top"/>
    </xf>
    <xf numFmtId="49" fontId="11" fillId="7" borderId="53" xfId="3" applyNumberFormat="1" applyFont="1" applyFill="1" applyBorder="1" applyAlignment="1" applyProtection="1">
      <alignment horizontal="left" vertical="top"/>
    </xf>
    <xf numFmtId="49" fontId="11" fillId="7" borderId="51" xfId="3" applyNumberFormat="1" applyFont="1" applyFill="1" applyBorder="1" applyAlignment="1" applyProtection="1">
      <alignment horizontal="left" vertical="top"/>
    </xf>
    <xf numFmtId="0" fontId="11" fillId="7" borderId="46" xfId="3" applyFont="1" applyFill="1" applyBorder="1" applyAlignment="1" applyProtection="1">
      <alignment horizontal="left" vertical="top"/>
    </xf>
    <xf numFmtId="0" fontId="11" fillId="7" borderId="51" xfId="3" applyFont="1" applyFill="1" applyBorder="1" applyAlignment="1" applyProtection="1">
      <alignment horizontal="left" vertical="top"/>
    </xf>
    <xf numFmtId="175" fontId="11" fillId="7" borderId="1" xfId="3" applyNumberFormat="1" applyFont="1" applyFill="1" applyBorder="1" applyAlignment="1" applyProtection="1">
      <alignment horizontal="left" vertical="top"/>
    </xf>
    <xf numFmtId="0" fontId="11" fillId="7" borderId="58" xfId="3" applyFont="1" applyFill="1" applyBorder="1" applyAlignment="1" applyProtection="1">
      <alignment horizontal="left" vertical="top"/>
    </xf>
    <xf numFmtId="49" fontId="11" fillId="7" borderId="3" xfId="3" applyNumberFormat="1" applyFont="1" applyFill="1" applyBorder="1" applyAlignment="1" applyProtection="1">
      <alignment horizontal="left" vertical="top"/>
    </xf>
    <xf numFmtId="49" fontId="11" fillId="7" borderId="5" xfId="3" applyNumberFormat="1" applyFont="1" applyFill="1" applyBorder="1" applyAlignment="1" applyProtection="1">
      <alignment horizontal="left" vertical="top"/>
    </xf>
    <xf numFmtId="49" fontId="11" fillId="7" borderId="58" xfId="3" applyNumberFormat="1" applyFont="1" applyFill="1" applyBorder="1" applyAlignment="1" applyProtection="1">
      <alignment horizontal="left" vertical="top"/>
    </xf>
    <xf numFmtId="49" fontId="11" fillId="7" borderId="4" xfId="3" applyNumberFormat="1" applyFont="1" applyFill="1" applyBorder="1" applyAlignment="1" applyProtection="1">
      <alignment horizontal="left" vertical="top"/>
    </xf>
    <xf numFmtId="0" fontId="11" fillId="7" borderId="1" xfId="3" applyFont="1" applyFill="1" applyBorder="1" applyAlignment="1" applyProtection="1">
      <alignment horizontal="left" vertical="top"/>
    </xf>
    <xf numFmtId="0" fontId="2" fillId="9" borderId="15" xfId="3" applyFont="1" applyFill="1" applyBorder="1" applyAlignment="1" applyProtection="1">
      <alignment horizontal="center" vertical="top" wrapText="1"/>
    </xf>
    <xf numFmtId="0" fontId="6" fillId="8" borderId="14" xfId="3" applyFont="1" applyFill="1" applyBorder="1" applyAlignment="1" applyProtection="1">
      <alignment horizontal="left" vertical="center"/>
    </xf>
    <xf numFmtId="0" fontId="6" fillId="8" borderId="29" xfId="3" applyFont="1" applyFill="1" applyBorder="1" applyAlignment="1" applyProtection="1">
      <alignment horizontal="left" vertical="center"/>
    </xf>
    <xf numFmtId="0" fontId="6" fillId="8" borderId="46" xfId="3" applyFont="1" applyFill="1" applyBorder="1" applyAlignment="1" applyProtection="1">
      <alignment horizontal="left" vertical="center" wrapText="1"/>
    </xf>
    <xf numFmtId="0" fontId="6" fillId="8" borderId="51" xfId="3" applyFont="1" applyFill="1" applyBorder="1" applyAlignment="1" applyProtection="1">
      <alignment horizontal="left" vertical="center" wrapText="1"/>
    </xf>
    <xf numFmtId="170" fontId="6" fillId="0" borderId="57" xfId="3" applyNumberFormat="1" applyFont="1" applyFill="1" applyBorder="1" applyAlignment="1" applyProtection="1">
      <alignment horizontal="right" vertical="center" wrapText="1"/>
      <protection locked="0"/>
    </xf>
    <xf numFmtId="170" fontId="6" fillId="0" borderId="56" xfId="3" applyNumberFormat="1" applyFont="1" applyFill="1" applyBorder="1" applyAlignment="1" applyProtection="1">
      <alignment horizontal="right" vertical="center" wrapText="1"/>
      <protection locked="0"/>
    </xf>
    <xf numFmtId="170" fontId="6" fillId="0" borderId="63" xfId="3" applyNumberFormat="1" applyFont="1" applyFill="1" applyBorder="1" applyAlignment="1" applyProtection="1">
      <alignment horizontal="right" vertical="center" wrapText="1"/>
      <protection locked="0"/>
    </xf>
    <xf numFmtId="49" fontId="6" fillId="0" borderId="34" xfId="3" applyNumberFormat="1" applyFont="1" applyFill="1" applyBorder="1" applyAlignment="1" applyProtection="1">
      <alignment horizontal="left" vertical="center" wrapText="1"/>
      <protection locked="0"/>
    </xf>
    <xf numFmtId="49" fontId="6" fillId="0" borderId="48" xfId="3" applyNumberFormat="1" applyFont="1" applyFill="1" applyBorder="1" applyAlignment="1" applyProtection="1">
      <alignment horizontal="left" vertical="center" wrapText="1"/>
      <protection locked="0"/>
    </xf>
    <xf numFmtId="49" fontId="6" fillId="0" borderId="50" xfId="3" applyNumberFormat="1" applyFont="1" applyFill="1" applyBorder="1" applyAlignment="1" applyProtection="1">
      <alignment horizontal="left" vertical="center" wrapText="1"/>
      <protection locked="0"/>
    </xf>
    <xf numFmtId="0" fontId="6" fillId="8" borderId="11" xfId="3" applyFont="1" applyFill="1" applyBorder="1" applyAlignment="1" applyProtection="1">
      <alignment horizontal="left" vertical="center" wrapText="1"/>
    </xf>
    <xf numFmtId="0" fontId="6" fillId="8" borderId="16" xfId="3" applyFont="1" applyFill="1" applyBorder="1" applyAlignment="1" applyProtection="1">
      <alignment horizontal="left" vertical="center" wrapText="1"/>
    </xf>
    <xf numFmtId="0" fontId="6" fillId="8" borderId="11" xfId="3" applyFont="1" applyFill="1" applyBorder="1" applyAlignment="1" applyProtection="1">
      <alignment horizontal="left" vertical="center"/>
    </xf>
    <xf numFmtId="0" fontId="6" fillId="8" borderId="16" xfId="3" applyFont="1" applyFill="1" applyBorder="1" applyAlignment="1" applyProtection="1">
      <alignment horizontal="left" vertical="center"/>
    </xf>
    <xf numFmtId="0" fontId="6" fillId="8" borderId="9" xfId="3" applyFont="1" applyFill="1" applyBorder="1" applyAlignment="1" applyProtection="1">
      <alignment horizontal="left" vertical="center"/>
    </xf>
    <xf numFmtId="0" fontId="11" fillId="7" borderId="2" xfId="0" applyFont="1" applyFill="1" applyBorder="1" applyAlignment="1" applyProtection="1">
      <alignment horizontal="center" vertical="center" wrapText="1"/>
    </xf>
    <xf numFmtId="0" fontId="11" fillId="7" borderId="8" xfId="0" applyFont="1" applyFill="1" applyBorder="1" applyAlignment="1" applyProtection="1">
      <alignment horizontal="center" vertical="center" wrapText="1"/>
    </xf>
    <xf numFmtId="0" fontId="11" fillId="7" borderId="12" xfId="0" applyFont="1" applyFill="1" applyBorder="1" applyAlignment="1" applyProtection="1">
      <alignment horizontal="center" vertical="center" wrapText="1"/>
    </xf>
    <xf numFmtId="0" fontId="11" fillId="0" borderId="0" xfId="0" applyFont="1" applyFill="1" applyBorder="1" applyAlignment="1" applyProtection="1">
      <alignment horizontal="center" vertical="center" wrapText="1"/>
    </xf>
    <xf numFmtId="49" fontId="12" fillId="8" borderId="2" xfId="0" applyNumberFormat="1" applyFont="1" applyFill="1" applyBorder="1" applyAlignment="1" applyProtection="1">
      <alignment horizontal="justify" vertical="center" wrapText="1"/>
    </xf>
    <xf numFmtId="49" fontId="12" fillId="8" borderId="8" xfId="0" applyNumberFormat="1" applyFont="1" applyFill="1" applyBorder="1" applyAlignment="1" applyProtection="1">
      <alignment horizontal="justify" vertical="center" wrapText="1"/>
    </xf>
    <xf numFmtId="49" fontId="12" fillId="8" borderId="12" xfId="0" applyNumberFormat="1" applyFont="1" applyFill="1" applyBorder="1" applyAlignment="1" applyProtection="1">
      <alignment horizontal="justify" vertical="center" wrapText="1"/>
    </xf>
    <xf numFmtId="49" fontId="12" fillId="8" borderId="1" xfId="0" applyNumberFormat="1" applyFont="1" applyFill="1" applyBorder="1" applyAlignment="1" applyProtection="1">
      <alignment horizontal="left" vertical="center"/>
    </xf>
    <xf numFmtId="170" fontId="12" fillId="0" borderId="2" xfId="0" applyNumberFormat="1" applyFont="1" applyFill="1" applyBorder="1" applyAlignment="1" applyProtection="1">
      <alignment horizontal="right" vertical="center"/>
      <protection locked="0"/>
    </xf>
    <xf numFmtId="170" fontId="12" fillId="0" borderId="12" xfId="0" applyNumberFormat="1" applyFont="1" applyFill="1" applyBorder="1" applyAlignment="1" applyProtection="1">
      <alignment horizontal="right" vertical="center"/>
      <protection locked="0"/>
    </xf>
    <xf numFmtId="49" fontId="12" fillId="8" borderId="2" xfId="0" applyNumberFormat="1" applyFont="1" applyFill="1" applyBorder="1" applyAlignment="1" applyProtection="1">
      <alignment horizontal="left" vertical="center" wrapText="1"/>
    </xf>
    <xf numFmtId="49" fontId="12" fillId="8" borderId="8" xfId="0" applyNumberFormat="1" applyFont="1" applyFill="1" applyBorder="1" applyAlignment="1" applyProtection="1">
      <alignment horizontal="left" vertical="center" wrapText="1"/>
    </xf>
    <xf numFmtId="49" fontId="12" fillId="8" borderId="12" xfId="0" applyNumberFormat="1" applyFont="1" applyFill="1" applyBorder="1" applyAlignment="1" applyProtection="1">
      <alignment horizontal="left" vertical="center" wrapText="1"/>
    </xf>
    <xf numFmtId="0" fontId="12" fillId="8" borderId="2" xfId="0" applyFont="1" applyFill="1" applyBorder="1" applyAlignment="1" applyProtection="1">
      <alignment horizontal="left" vertical="center"/>
    </xf>
    <xf numFmtId="0" fontId="12" fillId="8" borderId="8" xfId="0" applyFont="1" applyFill="1" applyBorder="1" applyAlignment="1" applyProtection="1">
      <alignment horizontal="left" vertical="center"/>
    </xf>
    <xf numFmtId="0" fontId="12" fillId="8" borderId="12" xfId="0" applyFont="1" applyFill="1" applyBorder="1" applyAlignment="1" applyProtection="1">
      <alignment horizontal="left" vertical="center"/>
    </xf>
    <xf numFmtId="49" fontId="12" fillId="9" borderId="2" xfId="0" applyNumberFormat="1" applyFont="1" applyFill="1" applyBorder="1" applyAlignment="1" applyProtection="1">
      <alignment horizontal="center" vertical="top"/>
      <protection locked="0"/>
    </xf>
    <xf numFmtId="49" fontId="12" fillId="9" borderId="8" xfId="0" applyNumberFormat="1" applyFont="1" applyFill="1" applyBorder="1" applyAlignment="1" applyProtection="1">
      <alignment horizontal="center" vertical="top"/>
      <protection locked="0"/>
    </xf>
    <xf numFmtId="49" fontId="12" fillId="9" borderId="12" xfId="0" applyNumberFormat="1" applyFont="1" applyFill="1" applyBorder="1" applyAlignment="1" applyProtection="1">
      <alignment horizontal="center" vertical="top"/>
      <protection locked="0"/>
    </xf>
    <xf numFmtId="0" fontId="12" fillId="8" borderId="1" xfId="0" applyFont="1" applyFill="1" applyBorder="1" applyAlignment="1" applyProtection="1">
      <alignment horizontal="justify" vertical="center"/>
    </xf>
    <xf numFmtId="0" fontId="0" fillId="0" borderId="0" xfId="0" applyFill="1" applyBorder="1" applyAlignment="1" applyProtection="1">
      <alignment horizontal="center" vertical="top"/>
    </xf>
    <xf numFmtId="0" fontId="17" fillId="8" borderId="1" xfId="0" applyFont="1" applyFill="1" applyBorder="1" applyAlignment="1" applyProtection="1">
      <alignment horizontal="center" vertical="center" wrapText="1"/>
    </xf>
    <xf numFmtId="0" fontId="17" fillId="8" borderId="1" xfId="0" applyFont="1" applyFill="1" applyBorder="1" applyAlignment="1" applyProtection="1">
      <alignment horizontal="center" vertical="center"/>
    </xf>
    <xf numFmtId="49" fontId="12" fillId="9" borderId="31" xfId="0" applyNumberFormat="1" applyFont="1" applyFill="1" applyBorder="1" applyAlignment="1" applyProtection="1">
      <alignment horizontal="center" vertical="center" wrapText="1"/>
      <protection locked="0"/>
    </xf>
    <xf numFmtId="49" fontId="12" fillId="9" borderId="17" xfId="0" applyNumberFormat="1" applyFont="1" applyFill="1" applyBorder="1" applyAlignment="1" applyProtection="1">
      <alignment horizontal="center" vertical="center" wrapText="1"/>
      <protection locked="0"/>
    </xf>
    <xf numFmtId="49" fontId="12" fillId="9" borderId="32" xfId="0" applyNumberFormat="1" applyFont="1" applyFill="1" applyBorder="1" applyAlignment="1" applyProtection="1">
      <alignment horizontal="center" vertical="center" wrapText="1"/>
      <protection locked="0"/>
    </xf>
    <xf numFmtId="1" fontId="12" fillId="9" borderId="31" xfId="0" applyNumberFormat="1" applyFont="1" applyFill="1" applyBorder="1" applyAlignment="1" applyProtection="1">
      <alignment horizontal="center" vertical="center" wrapText="1"/>
      <protection locked="0"/>
    </xf>
    <xf numFmtId="1" fontId="12" fillId="9" borderId="32" xfId="0" applyNumberFormat="1" applyFont="1" applyFill="1" applyBorder="1" applyAlignment="1" applyProtection="1">
      <alignment horizontal="center" vertical="center" wrapText="1"/>
      <protection locked="0"/>
    </xf>
    <xf numFmtId="170" fontId="12" fillId="9" borderId="31" xfId="0" applyNumberFormat="1" applyFont="1" applyFill="1" applyBorder="1" applyAlignment="1" applyProtection="1">
      <alignment horizontal="center" vertical="center" wrapText="1"/>
      <protection locked="0"/>
    </xf>
    <xf numFmtId="170" fontId="12" fillId="9" borderId="32" xfId="0" applyNumberFormat="1" applyFont="1" applyFill="1" applyBorder="1" applyAlignment="1" applyProtection="1">
      <alignment horizontal="center" vertical="center" wrapText="1"/>
      <protection locked="0"/>
    </xf>
    <xf numFmtId="49" fontId="12" fillId="9" borderId="34" xfId="0" applyNumberFormat="1" applyFont="1" applyFill="1" applyBorder="1" applyAlignment="1" applyProtection="1">
      <alignment horizontal="center" vertical="center" wrapText="1"/>
      <protection locked="0"/>
    </xf>
    <xf numFmtId="49" fontId="12" fillId="9" borderId="19" xfId="0" applyNumberFormat="1" applyFont="1" applyFill="1" applyBorder="1" applyAlignment="1" applyProtection="1">
      <alignment horizontal="center" vertical="center" wrapText="1"/>
      <protection locked="0"/>
    </xf>
    <xf numFmtId="49" fontId="12" fillId="9" borderId="35" xfId="0" applyNumberFormat="1" applyFont="1" applyFill="1" applyBorder="1" applyAlignment="1" applyProtection="1">
      <alignment horizontal="center" vertical="center" wrapText="1"/>
      <protection locked="0"/>
    </xf>
    <xf numFmtId="1" fontId="12" fillId="9" borderId="34" xfId="0" applyNumberFormat="1" applyFont="1" applyFill="1" applyBorder="1" applyAlignment="1" applyProtection="1">
      <alignment horizontal="center" vertical="center" wrapText="1"/>
      <protection locked="0"/>
    </xf>
    <xf numFmtId="1" fontId="12" fillId="9" borderId="35" xfId="0" applyNumberFormat="1" applyFont="1" applyFill="1" applyBorder="1" applyAlignment="1" applyProtection="1">
      <alignment horizontal="center" vertical="center" wrapText="1"/>
      <protection locked="0"/>
    </xf>
    <xf numFmtId="170" fontId="12" fillId="9" borderId="34" xfId="0" applyNumberFormat="1" applyFont="1" applyFill="1" applyBorder="1" applyAlignment="1" applyProtection="1">
      <alignment horizontal="center" vertical="center" wrapText="1"/>
      <protection locked="0"/>
    </xf>
    <xf numFmtId="170" fontId="12" fillId="9" borderId="35" xfId="0" applyNumberFormat="1" applyFont="1" applyFill="1" applyBorder="1" applyAlignment="1" applyProtection="1">
      <alignment horizontal="center" vertical="center" wrapText="1"/>
      <protection locked="0"/>
    </xf>
    <xf numFmtId="49" fontId="12" fillId="0" borderId="21" xfId="0" applyNumberFormat="1" applyFont="1" applyFill="1" applyBorder="1" applyAlignment="1" applyProtection="1">
      <alignment horizontal="center" vertical="center" wrapText="1"/>
      <protection locked="0"/>
    </xf>
    <xf numFmtId="1" fontId="12" fillId="0" borderId="21" xfId="0" applyNumberFormat="1" applyFont="1" applyFill="1" applyBorder="1" applyAlignment="1" applyProtection="1">
      <alignment horizontal="center" vertical="center" wrapText="1"/>
      <protection locked="0"/>
    </xf>
    <xf numFmtId="170" fontId="12" fillId="0" borderId="21" xfId="0" applyNumberFormat="1" applyFont="1" applyFill="1" applyBorder="1" applyAlignment="1" applyProtection="1">
      <alignment horizontal="center" vertical="center" wrapText="1"/>
      <protection locked="0"/>
    </xf>
    <xf numFmtId="49" fontId="12" fillId="0" borderId="0" xfId="0" applyNumberFormat="1" applyFont="1" applyFill="1" applyBorder="1" applyAlignment="1" applyProtection="1">
      <alignment horizontal="center" vertical="center" wrapText="1"/>
      <protection locked="0"/>
    </xf>
    <xf numFmtId="1" fontId="12" fillId="0" borderId="0" xfId="0" applyNumberFormat="1" applyFont="1" applyFill="1" applyBorder="1" applyAlignment="1" applyProtection="1">
      <alignment horizontal="center" vertical="center" wrapText="1"/>
      <protection locked="0"/>
    </xf>
    <xf numFmtId="170" fontId="12" fillId="0" borderId="0" xfId="0" applyNumberFormat="1" applyFont="1" applyFill="1" applyBorder="1" applyAlignment="1" applyProtection="1">
      <alignment horizontal="center" vertical="center" wrapText="1"/>
      <protection locked="0"/>
    </xf>
    <xf numFmtId="0" fontId="11" fillId="7" borderId="1" xfId="0" applyFont="1" applyFill="1" applyBorder="1" applyAlignment="1" applyProtection="1">
      <alignment horizontal="left" vertical="top"/>
    </xf>
    <xf numFmtId="0" fontId="11" fillId="7" borderId="3" xfId="0" applyFont="1" applyFill="1" applyBorder="1" applyAlignment="1" applyProtection="1">
      <alignment horizontal="left" vertical="top"/>
    </xf>
    <xf numFmtId="0" fontId="11" fillId="7" borderId="4" xfId="0" applyFont="1" applyFill="1" applyBorder="1" applyAlignment="1" applyProtection="1">
      <alignment horizontal="left" vertical="top"/>
    </xf>
    <xf numFmtId="0" fontId="0" fillId="9" borderId="0" xfId="0" applyFill="1" applyBorder="1" applyAlignment="1" applyProtection="1">
      <alignment horizontal="center"/>
    </xf>
    <xf numFmtId="0" fontId="14" fillId="9" borderId="0" xfId="0" applyFont="1" applyFill="1" applyBorder="1" applyAlignment="1" applyProtection="1">
      <alignment horizontal="center" vertical="center" wrapText="1"/>
    </xf>
    <xf numFmtId="173" fontId="12" fillId="0" borderId="2" xfId="0" applyNumberFormat="1" applyFont="1" applyFill="1" applyBorder="1" applyAlignment="1" applyProtection="1">
      <alignment horizontal="left" vertical="top" wrapText="1"/>
      <protection locked="0"/>
    </xf>
    <xf numFmtId="173" fontId="12" fillId="0" borderId="12" xfId="0" applyNumberFormat="1" applyFont="1" applyFill="1" applyBorder="1" applyAlignment="1" applyProtection="1">
      <alignment horizontal="left" vertical="top" wrapText="1"/>
      <protection locked="0"/>
    </xf>
    <xf numFmtId="0" fontId="14" fillId="8" borderId="1" xfId="0" applyFont="1" applyFill="1" applyBorder="1" applyAlignment="1" applyProtection="1">
      <alignment horizontal="center" vertical="center"/>
    </xf>
    <xf numFmtId="0" fontId="14" fillId="8" borderId="2" xfId="0" applyFont="1" applyFill="1" applyBorder="1" applyAlignment="1" applyProtection="1">
      <alignment horizontal="center" vertical="center"/>
    </xf>
    <xf numFmtId="0" fontId="14" fillId="8" borderId="12" xfId="0" applyFont="1" applyFill="1" applyBorder="1" applyAlignment="1" applyProtection="1">
      <alignment horizontal="center" vertical="center"/>
    </xf>
    <xf numFmtId="49" fontId="12" fillId="8" borderId="1" xfId="0" applyNumberFormat="1" applyFont="1" applyFill="1" applyBorder="1" applyAlignment="1" applyProtection="1">
      <alignment horizontal="left" vertical="center" wrapText="1"/>
    </xf>
    <xf numFmtId="170" fontId="12" fillId="0" borderId="13" xfId="0" applyNumberFormat="1" applyFont="1" applyFill="1" applyBorder="1" applyAlignment="1" applyProtection="1">
      <alignment horizontal="right" vertical="center"/>
      <protection locked="0"/>
    </xf>
    <xf numFmtId="170" fontId="12" fillId="0" borderId="14" xfId="0" applyNumberFormat="1" applyFont="1" applyFill="1" applyBorder="1" applyAlignment="1" applyProtection="1">
      <alignment horizontal="right" vertical="center"/>
      <protection locked="0"/>
    </xf>
    <xf numFmtId="170" fontId="12" fillId="0" borderId="18" xfId="0" applyNumberFormat="1" applyFont="1" applyFill="1" applyBorder="1" applyAlignment="1" applyProtection="1">
      <alignment horizontal="right" vertical="center"/>
      <protection locked="0"/>
    </xf>
    <xf numFmtId="170" fontId="12" fillId="0" borderId="26" xfId="0" applyNumberFormat="1" applyFont="1" applyFill="1" applyBorder="1" applyAlignment="1" applyProtection="1">
      <alignment horizontal="right" vertical="center"/>
      <protection locked="0"/>
    </xf>
    <xf numFmtId="49" fontId="12" fillId="8" borderId="3" xfId="0" applyNumberFormat="1" applyFont="1" applyFill="1" applyBorder="1" applyAlignment="1" applyProtection="1">
      <alignment horizontal="left" vertical="center" wrapText="1"/>
    </xf>
    <xf numFmtId="49" fontId="17" fillId="0" borderId="13" xfId="0" applyNumberFormat="1" applyFont="1" applyFill="1" applyBorder="1" applyAlignment="1" applyProtection="1">
      <alignment horizontal="left" vertical="center" wrapText="1"/>
      <protection locked="0"/>
    </xf>
    <xf numFmtId="49" fontId="17" fillId="0" borderId="17" xfId="0" applyNumberFormat="1" applyFont="1" applyFill="1" applyBorder="1" applyAlignment="1" applyProtection="1">
      <alignment horizontal="left" vertical="center" wrapText="1"/>
      <protection locked="0"/>
    </xf>
    <xf numFmtId="49" fontId="17" fillId="0" borderId="14" xfId="0" applyNumberFormat="1" applyFont="1" applyFill="1" applyBorder="1" applyAlignment="1" applyProtection="1">
      <alignment horizontal="left" vertical="center" wrapText="1"/>
      <protection locked="0"/>
    </xf>
    <xf numFmtId="49" fontId="17" fillId="0" borderId="24" xfId="0" applyNumberFormat="1" applyFont="1" applyFill="1" applyBorder="1" applyAlignment="1" applyProtection="1">
      <alignment horizontal="left" vertical="center" wrapText="1"/>
      <protection locked="0"/>
    </xf>
    <xf numFmtId="49" fontId="17" fillId="0" borderId="25" xfId="0" applyNumberFormat="1" applyFont="1" applyFill="1" applyBorder="1" applyAlignment="1" applyProtection="1">
      <alignment horizontal="left" vertical="center" wrapText="1"/>
      <protection locked="0"/>
    </xf>
    <xf numFmtId="49" fontId="17" fillId="0" borderId="29" xfId="0" applyNumberFormat="1" applyFont="1" applyFill="1" applyBorder="1" applyAlignment="1" applyProtection="1">
      <alignment horizontal="left" vertical="center" wrapText="1"/>
      <protection locked="0"/>
    </xf>
    <xf numFmtId="170" fontId="12" fillId="0" borderId="24" xfId="0" applyNumberFormat="1" applyFont="1" applyFill="1" applyBorder="1" applyAlignment="1" applyProtection="1">
      <alignment horizontal="right" vertical="center"/>
      <protection locked="0"/>
    </xf>
    <xf numFmtId="170" fontId="12" fillId="0" borderId="29" xfId="0" applyNumberFormat="1" applyFont="1" applyFill="1" applyBorder="1" applyAlignment="1" applyProtection="1">
      <alignment horizontal="right" vertical="center"/>
      <protection locked="0"/>
    </xf>
    <xf numFmtId="49" fontId="14" fillId="8" borderId="2" xfId="0" applyNumberFormat="1" applyFont="1" applyFill="1" applyBorder="1" applyAlignment="1" applyProtection="1">
      <alignment horizontal="left" vertical="center"/>
    </xf>
    <xf numFmtId="49" fontId="14" fillId="8" borderId="8" xfId="0" applyNumberFormat="1" applyFont="1" applyFill="1" applyBorder="1" applyAlignment="1" applyProtection="1">
      <alignment horizontal="left" vertical="center"/>
    </xf>
    <xf numFmtId="49" fontId="14" fillId="8" borderId="12" xfId="0" applyNumberFormat="1" applyFont="1" applyFill="1" applyBorder="1" applyAlignment="1" applyProtection="1">
      <alignment horizontal="left" vertical="center"/>
    </xf>
    <xf numFmtId="170" fontId="14" fillId="8" borderId="2" xfId="0" applyNumberFormat="1" applyFont="1" applyFill="1" applyBorder="1" applyAlignment="1" applyProtection="1">
      <alignment horizontal="right" vertical="center"/>
    </xf>
    <xf numFmtId="170" fontId="14" fillId="8" borderId="12" xfId="0" applyNumberFormat="1" applyFont="1" applyFill="1" applyBorder="1" applyAlignment="1" applyProtection="1">
      <alignment horizontal="right" vertical="center"/>
    </xf>
    <xf numFmtId="49" fontId="12" fillId="9" borderId="7" xfId="0" applyNumberFormat="1" applyFont="1" applyFill="1" applyBorder="1" applyAlignment="1" applyProtection="1">
      <alignment horizontal="center" vertical="top"/>
    </xf>
    <xf numFmtId="49" fontId="12" fillId="9" borderId="10" xfId="0" applyNumberFormat="1" applyFont="1" applyFill="1" applyBorder="1" applyAlignment="1" applyProtection="1">
      <alignment horizontal="center" vertical="top"/>
    </xf>
    <xf numFmtId="0" fontId="6" fillId="9" borderId="0" xfId="0" applyFont="1" applyFill="1" applyBorder="1" applyAlignment="1" applyProtection="1">
      <alignment horizontal="center" vertical="top"/>
    </xf>
    <xf numFmtId="0" fontId="11" fillId="7" borderId="5" xfId="0" applyFont="1" applyFill="1" applyBorder="1" applyAlignment="1" applyProtection="1">
      <alignment horizontal="left" vertical="top"/>
    </xf>
    <xf numFmtId="0" fontId="6" fillId="8" borderId="2" xfId="0" applyFont="1" applyFill="1" applyBorder="1" applyAlignment="1" applyProtection="1">
      <alignment horizontal="left" vertical="center" wrapText="1"/>
    </xf>
    <xf numFmtId="0" fontId="6" fillId="8" borderId="8" xfId="0" applyFont="1" applyFill="1" applyBorder="1" applyAlignment="1" applyProtection="1">
      <alignment horizontal="left" vertical="center" wrapText="1"/>
    </xf>
    <xf numFmtId="0" fontId="6" fillId="8" borderId="12" xfId="0" applyFont="1" applyFill="1" applyBorder="1" applyAlignment="1" applyProtection="1">
      <alignment horizontal="left" vertical="center" wrapText="1"/>
    </xf>
    <xf numFmtId="0" fontId="6" fillId="8" borderId="1" xfId="0" applyFont="1" applyFill="1" applyBorder="1" applyAlignment="1" applyProtection="1">
      <alignment horizontal="left" vertical="center"/>
    </xf>
    <xf numFmtId="170" fontId="6" fillId="0" borderId="2" xfId="0" applyNumberFormat="1" applyFont="1" applyFill="1" applyBorder="1" applyAlignment="1" applyProtection="1">
      <alignment horizontal="right" vertical="center"/>
      <protection locked="0"/>
    </xf>
    <xf numFmtId="170" fontId="6" fillId="0" borderId="12" xfId="0" applyNumberFormat="1" applyFont="1" applyFill="1" applyBorder="1" applyAlignment="1" applyProtection="1">
      <alignment horizontal="right" vertical="center"/>
      <protection locked="0"/>
    </xf>
    <xf numFmtId="0" fontId="6" fillId="8" borderId="2" xfId="0" applyFont="1" applyFill="1" applyBorder="1" applyAlignment="1" applyProtection="1">
      <alignment horizontal="left" vertical="center"/>
    </xf>
    <xf numFmtId="0" fontId="6" fillId="8" borderId="8" xfId="0" applyFont="1" applyFill="1" applyBorder="1" applyAlignment="1" applyProtection="1">
      <alignment horizontal="left" vertical="center"/>
    </xf>
    <xf numFmtId="0" fontId="6" fillId="8" borderId="12" xfId="0" applyFont="1" applyFill="1" applyBorder="1" applyAlignment="1" applyProtection="1">
      <alignment horizontal="left" vertical="center"/>
    </xf>
    <xf numFmtId="49" fontId="2" fillId="9" borderId="1" xfId="0" applyNumberFormat="1" applyFont="1" applyFill="1" applyBorder="1" applyAlignment="1" applyProtection="1">
      <alignment horizontal="center" vertical="top"/>
    </xf>
    <xf numFmtId="49" fontId="12" fillId="9" borderId="31" xfId="0" applyNumberFormat="1" applyFont="1" applyFill="1" applyBorder="1" applyAlignment="1" applyProtection="1">
      <alignment horizontal="center" vertical="center" wrapText="1"/>
    </xf>
    <xf numFmtId="49" fontId="12" fillId="9" borderId="17" xfId="0" applyNumberFormat="1" applyFont="1" applyFill="1" applyBorder="1" applyAlignment="1" applyProtection="1">
      <alignment horizontal="center" vertical="center" wrapText="1"/>
    </xf>
    <xf numFmtId="49" fontId="12" fillId="9" borderId="32" xfId="0" applyNumberFormat="1" applyFont="1" applyFill="1" applyBorder="1" applyAlignment="1" applyProtection="1">
      <alignment horizontal="center" vertical="center" wrapText="1"/>
    </xf>
    <xf numFmtId="1" fontId="12" fillId="9" borderId="31" xfId="0" applyNumberFormat="1" applyFont="1" applyFill="1" applyBorder="1" applyAlignment="1" applyProtection="1">
      <alignment horizontal="center" vertical="center" wrapText="1"/>
    </xf>
    <xf numFmtId="1" fontId="12" fillId="9" borderId="32" xfId="0" applyNumberFormat="1" applyFont="1" applyFill="1" applyBorder="1" applyAlignment="1" applyProtection="1">
      <alignment horizontal="center" vertical="center" wrapText="1"/>
    </xf>
    <xf numFmtId="170" fontId="12" fillId="9" borderId="31" xfId="0" applyNumberFormat="1" applyFont="1" applyFill="1" applyBorder="1" applyAlignment="1" applyProtection="1">
      <alignment horizontal="center" vertical="center" wrapText="1"/>
    </xf>
    <xf numFmtId="170" fontId="12" fillId="9" borderId="32" xfId="0" applyNumberFormat="1" applyFont="1" applyFill="1" applyBorder="1" applyAlignment="1" applyProtection="1">
      <alignment horizontal="center" vertical="center" wrapText="1"/>
    </xf>
    <xf numFmtId="49" fontId="12" fillId="9" borderId="34" xfId="0" applyNumberFormat="1" applyFont="1" applyFill="1" applyBorder="1" applyAlignment="1" applyProtection="1">
      <alignment horizontal="center" vertical="center" wrapText="1"/>
    </xf>
    <xf numFmtId="49" fontId="12" fillId="9" borderId="19" xfId="0" applyNumberFormat="1" applyFont="1" applyFill="1" applyBorder="1" applyAlignment="1" applyProtection="1">
      <alignment horizontal="center" vertical="center" wrapText="1"/>
    </xf>
    <xf numFmtId="49" fontId="12" fillId="9" borderId="35" xfId="0" applyNumberFormat="1" applyFont="1" applyFill="1" applyBorder="1" applyAlignment="1" applyProtection="1">
      <alignment horizontal="center" vertical="center" wrapText="1"/>
    </xf>
    <xf numFmtId="1" fontId="12" fillId="9" borderId="34" xfId="0" applyNumberFormat="1" applyFont="1" applyFill="1" applyBorder="1" applyAlignment="1" applyProtection="1">
      <alignment horizontal="center" vertical="center" wrapText="1"/>
    </xf>
    <xf numFmtId="1" fontId="12" fillId="9" borderId="35" xfId="0" applyNumberFormat="1" applyFont="1" applyFill="1" applyBorder="1" applyAlignment="1" applyProtection="1">
      <alignment horizontal="center" vertical="center" wrapText="1"/>
    </xf>
    <xf numFmtId="170" fontId="12" fillId="9" borderId="34" xfId="0" applyNumberFormat="1" applyFont="1" applyFill="1" applyBorder="1" applyAlignment="1" applyProtection="1">
      <alignment horizontal="center" vertical="center" wrapText="1"/>
    </xf>
    <xf numFmtId="170" fontId="12" fillId="9" borderId="35" xfId="0" applyNumberFormat="1" applyFont="1" applyFill="1" applyBorder="1" applyAlignment="1" applyProtection="1">
      <alignment horizontal="center" vertical="center" wrapText="1"/>
    </xf>
    <xf numFmtId="0" fontId="12" fillId="8" borderId="2" xfId="0" applyFont="1" applyFill="1" applyBorder="1" applyAlignment="1" applyProtection="1">
      <alignment horizontal="left" vertical="center" wrapText="1"/>
    </xf>
    <xf numFmtId="0" fontId="12" fillId="8" borderId="8" xfId="0" applyFont="1" applyFill="1" applyBorder="1" applyAlignment="1" applyProtection="1">
      <alignment horizontal="left" vertical="center" wrapText="1"/>
    </xf>
    <xf numFmtId="0" fontId="12" fillId="8" borderId="12" xfId="0" applyFont="1" applyFill="1" applyBorder="1" applyAlignment="1" applyProtection="1">
      <alignment horizontal="left" vertical="center" wrapText="1"/>
    </xf>
    <xf numFmtId="49" fontId="12" fillId="0" borderId="13" xfId="0" applyNumberFormat="1" applyFont="1" applyFill="1" applyBorder="1" applyAlignment="1" applyProtection="1">
      <alignment horizontal="left" vertical="center" wrapText="1"/>
      <protection locked="0"/>
    </xf>
    <xf numFmtId="49" fontId="12" fillId="0" borderId="17" xfId="0" applyNumberFormat="1" applyFont="1" applyFill="1" applyBorder="1" applyAlignment="1" applyProtection="1">
      <alignment horizontal="left" vertical="center" wrapText="1"/>
      <protection locked="0"/>
    </xf>
    <xf numFmtId="49" fontId="12" fillId="0" borderId="14" xfId="0" applyNumberFormat="1" applyFont="1" applyFill="1" applyBorder="1" applyAlignment="1" applyProtection="1">
      <alignment horizontal="left" vertical="center" wrapText="1"/>
      <protection locked="0"/>
    </xf>
    <xf numFmtId="49" fontId="12" fillId="0" borderId="18" xfId="0" applyNumberFormat="1" applyFont="1" applyFill="1" applyBorder="1" applyAlignment="1" applyProtection="1">
      <alignment horizontal="left" vertical="center"/>
      <protection locked="0"/>
    </xf>
    <xf numFmtId="49" fontId="12" fillId="0" borderId="19" xfId="0" applyNumberFormat="1" applyFont="1" applyFill="1" applyBorder="1" applyAlignment="1" applyProtection="1">
      <alignment horizontal="left" vertical="center"/>
      <protection locked="0"/>
    </xf>
    <xf numFmtId="49" fontId="12" fillId="0" borderId="26" xfId="0" applyNumberFormat="1" applyFont="1" applyFill="1" applyBorder="1" applyAlignment="1" applyProtection="1">
      <alignment horizontal="left" vertical="center"/>
      <protection locked="0"/>
    </xf>
    <xf numFmtId="173" fontId="12" fillId="0" borderId="24" xfId="0" applyNumberFormat="1" applyFont="1" applyFill="1" applyBorder="1" applyAlignment="1" applyProtection="1">
      <alignment horizontal="left" vertical="center" wrapText="1"/>
      <protection locked="0"/>
    </xf>
    <xf numFmtId="173" fontId="12" fillId="0" borderId="25" xfId="0" applyNumberFormat="1" applyFont="1" applyFill="1" applyBorder="1" applyAlignment="1" applyProtection="1">
      <alignment horizontal="left" vertical="center" wrapText="1"/>
      <protection locked="0"/>
    </xf>
    <xf numFmtId="173" fontId="12" fillId="0" borderId="29" xfId="0" applyNumberFormat="1" applyFont="1" applyFill="1" applyBorder="1" applyAlignment="1" applyProtection="1">
      <alignment horizontal="left" vertical="center" wrapText="1"/>
      <protection locked="0"/>
    </xf>
    <xf numFmtId="0" fontId="14" fillId="8" borderId="2" xfId="0" applyFont="1" applyFill="1" applyBorder="1" applyAlignment="1" applyProtection="1">
      <alignment horizontal="left" vertical="center" wrapText="1"/>
    </xf>
    <xf numFmtId="0" fontId="14" fillId="8" borderId="8" xfId="0" applyFont="1" applyFill="1" applyBorder="1" applyAlignment="1" applyProtection="1">
      <alignment horizontal="left" vertical="center" wrapText="1"/>
    </xf>
    <xf numFmtId="0" fontId="14" fillId="8" borderId="12" xfId="0" applyFont="1" applyFill="1" applyBorder="1" applyAlignment="1" applyProtection="1">
      <alignment horizontal="left" vertical="center" wrapText="1"/>
    </xf>
    <xf numFmtId="0" fontId="12" fillId="8" borderId="9" xfId="0" applyFont="1" applyFill="1" applyBorder="1" applyAlignment="1" applyProtection="1">
      <alignment horizontal="left" vertical="center" wrapText="1"/>
    </xf>
    <xf numFmtId="0" fontId="12" fillId="8" borderId="7" xfId="0" applyFont="1" applyFill="1" applyBorder="1" applyAlignment="1" applyProtection="1">
      <alignment horizontal="left" vertical="center" wrapText="1"/>
    </xf>
    <xf numFmtId="0" fontId="12" fillId="8" borderId="10" xfId="0" applyFont="1" applyFill="1" applyBorder="1" applyAlignment="1" applyProtection="1">
      <alignment horizontal="left" vertical="center" wrapText="1"/>
    </xf>
    <xf numFmtId="173" fontId="12" fillId="0" borderId="13" xfId="0" applyNumberFormat="1" applyFont="1" applyFill="1" applyBorder="1" applyAlignment="1" applyProtection="1">
      <alignment horizontal="left" vertical="center" wrapText="1"/>
      <protection locked="0"/>
    </xf>
    <xf numFmtId="173" fontId="12" fillId="0" borderId="17" xfId="0" applyNumberFormat="1" applyFont="1" applyFill="1" applyBorder="1" applyAlignment="1" applyProtection="1">
      <alignment horizontal="left" vertical="center" wrapText="1"/>
      <protection locked="0"/>
    </xf>
    <xf numFmtId="173" fontId="12" fillId="0" borderId="14" xfId="0" applyNumberFormat="1" applyFont="1" applyFill="1" applyBorder="1" applyAlignment="1" applyProtection="1">
      <alignment horizontal="left" vertical="center" wrapText="1"/>
      <protection locked="0"/>
    </xf>
    <xf numFmtId="170" fontId="12" fillId="0" borderId="18" xfId="0" applyNumberFormat="1" applyFont="1" applyFill="1" applyBorder="1" applyAlignment="1" applyProtection="1">
      <alignment horizontal="left" vertical="center" wrapText="1"/>
      <protection locked="0"/>
    </xf>
    <xf numFmtId="170" fontId="12" fillId="0" borderId="19" xfId="0" applyNumberFormat="1" applyFont="1" applyFill="1" applyBorder="1" applyAlignment="1" applyProtection="1">
      <alignment horizontal="left" vertical="center" wrapText="1"/>
      <protection locked="0"/>
    </xf>
    <xf numFmtId="170" fontId="12" fillId="0" borderId="26" xfId="0" applyNumberFormat="1" applyFont="1" applyFill="1" applyBorder="1" applyAlignment="1" applyProtection="1">
      <alignment horizontal="left" vertical="center" wrapText="1"/>
      <protection locked="0"/>
    </xf>
    <xf numFmtId="49" fontId="12" fillId="0" borderId="24" xfId="0" applyNumberFormat="1" applyFont="1" applyFill="1" applyBorder="1" applyAlignment="1" applyProtection="1">
      <alignment horizontal="left" vertical="center" wrapText="1"/>
      <protection locked="0"/>
    </xf>
    <xf numFmtId="49" fontId="12" fillId="0" borderId="25" xfId="0" applyNumberFormat="1" applyFont="1" applyFill="1" applyBorder="1" applyAlignment="1" applyProtection="1">
      <alignment horizontal="left" vertical="center" wrapText="1"/>
      <protection locked="0"/>
    </xf>
    <xf numFmtId="49" fontId="12" fillId="0" borderId="29" xfId="0" applyNumberFormat="1" applyFont="1" applyFill="1" applyBorder="1" applyAlignment="1" applyProtection="1">
      <alignment horizontal="left" vertical="center" wrapText="1"/>
      <protection locked="0"/>
    </xf>
    <xf numFmtId="0" fontId="12" fillId="0" borderId="2" xfId="0" applyFont="1" applyFill="1" applyBorder="1" applyAlignment="1" applyProtection="1">
      <alignment horizontal="center"/>
    </xf>
    <xf numFmtId="0" fontId="12" fillId="0" borderId="12" xfId="0" applyFont="1" applyFill="1" applyBorder="1" applyAlignment="1" applyProtection="1">
      <alignment horizontal="center"/>
    </xf>
    <xf numFmtId="0" fontId="12" fillId="9" borderId="2" xfId="0" applyFont="1" applyFill="1" applyBorder="1" applyAlignment="1" applyProtection="1">
      <alignment horizontal="center" vertical="top" wrapText="1"/>
    </xf>
    <xf numFmtId="0" fontId="12" fillId="9" borderId="12" xfId="0" applyFont="1" applyFill="1" applyBorder="1" applyAlignment="1" applyProtection="1">
      <alignment horizontal="center" vertical="top" wrapText="1"/>
    </xf>
    <xf numFmtId="0" fontId="0" fillId="9" borderId="6" xfId="0" applyFill="1" applyBorder="1" applyAlignment="1" applyProtection="1">
      <alignment horizontal="center"/>
    </xf>
    <xf numFmtId="49" fontId="12" fillId="9" borderId="2" xfId="0" applyNumberFormat="1" applyFont="1" applyFill="1" applyBorder="1" applyAlignment="1" applyProtection="1">
      <alignment horizontal="center" vertical="top"/>
    </xf>
    <xf numFmtId="49" fontId="12" fillId="9" borderId="8" xfId="0" applyNumberFormat="1" applyFont="1" applyFill="1" applyBorder="1" applyAlignment="1" applyProtection="1">
      <alignment horizontal="center" vertical="top"/>
    </xf>
    <xf numFmtId="49" fontId="12" fillId="9" borderId="12" xfId="0" applyNumberFormat="1" applyFont="1" applyFill="1" applyBorder="1" applyAlignment="1" applyProtection="1">
      <alignment horizontal="center" vertical="top"/>
    </xf>
    <xf numFmtId="173" fontId="12" fillId="0" borderId="18" xfId="0" applyNumberFormat="1" applyFont="1" applyFill="1" applyBorder="1" applyAlignment="1" applyProtection="1">
      <alignment horizontal="left" vertical="center" wrapText="1"/>
      <protection locked="0"/>
    </xf>
    <xf numFmtId="173" fontId="12" fillId="0" borderId="19" xfId="0" applyNumberFormat="1" applyFont="1" applyFill="1" applyBorder="1" applyAlignment="1" applyProtection="1">
      <alignment horizontal="left" vertical="center" wrapText="1"/>
      <protection locked="0"/>
    </xf>
    <xf numFmtId="173" fontId="12" fillId="0" borderId="26" xfId="0" applyNumberFormat="1" applyFont="1" applyFill="1" applyBorder="1" applyAlignment="1" applyProtection="1">
      <alignment horizontal="left" vertical="center" wrapText="1"/>
      <protection locked="0"/>
    </xf>
    <xf numFmtId="49" fontId="12" fillId="0" borderId="18" xfId="0" applyNumberFormat="1" applyFont="1" applyFill="1" applyBorder="1" applyAlignment="1" applyProtection="1">
      <alignment horizontal="left" vertical="center" wrapText="1"/>
      <protection locked="0"/>
    </xf>
    <xf numFmtId="49" fontId="12" fillId="0" borderId="19" xfId="0" applyNumberFormat="1" applyFont="1" applyFill="1" applyBorder="1" applyAlignment="1" applyProtection="1">
      <alignment horizontal="left" vertical="center" wrapText="1"/>
      <protection locked="0"/>
    </xf>
    <xf numFmtId="49" fontId="12" fillId="0" borderId="26" xfId="0" applyNumberFormat="1" applyFont="1" applyFill="1" applyBorder="1" applyAlignment="1" applyProtection="1">
      <alignment horizontal="left" vertical="center" wrapText="1"/>
      <protection locked="0"/>
    </xf>
    <xf numFmtId="1" fontId="12" fillId="0" borderId="18" xfId="0" applyNumberFormat="1" applyFont="1" applyFill="1" applyBorder="1" applyAlignment="1" applyProtection="1">
      <alignment horizontal="left" vertical="center" wrapText="1"/>
      <protection locked="0"/>
    </xf>
    <xf numFmtId="1" fontId="12" fillId="0" borderId="19" xfId="0" applyNumberFormat="1" applyFont="1" applyFill="1" applyBorder="1" applyAlignment="1" applyProtection="1">
      <alignment horizontal="left" vertical="center" wrapText="1"/>
      <protection locked="0"/>
    </xf>
    <xf numFmtId="1" fontId="12" fillId="0" borderId="26" xfId="0" applyNumberFormat="1" applyFont="1" applyFill="1" applyBorder="1" applyAlignment="1" applyProtection="1">
      <alignment horizontal="left" vertical="center" wrapText="1"/>
      <protection locked="0"/>
    </xf>
    <xf numFmtId="0" fontId="12" fillId="8" borderId="11" xfId="0" applyFont="1" applyFill="1" applyBorder="1" applyAlignment="1" applyProtection="1">
      <alignment horizontal="left" vertical="center" wrapText="1"/>
    </xf>
    <xf numFmtId="0" fontId="12" fillId="8" borderId="6" xfId="0" applyFont="1" applyFill="1" applyBorder="1" applyAlignment="1" applyProtection="1">
      <alignment horizontal="left" vertical="center" wrapText="1"/>
    </xf>
    <xf numFmtId="0" fontId="12" fillId="8" borderId="16" xfId="0" applyFont="1" applyFill="1" applyBorder="1" applyAlignment="1" applyProtection="1">
      <alignment horizontal="left" vertical="center" wrapText="1"/>
    </xf>
    <xf numFmtId="174" fontId="12" fillId="0" borderId="20" xfId="0" applyNumberFormat="1" applyFont="1" applyFill="1" applyBorder="1" applyAlignment="1" applyProtection="1">
      <alignment horizontal="left" vertical="center" wrapText="1"/>
      <protection locked="0"/>
    </xf>
    <xf numFmtId="174" fontId="12" fillId="0" borderId="21" xfId="0" applyNumberFormat="1" applyFont="1" applyFill="1" applyBorder="1" applyAlignment="1" applyProtection="1">
      <alignment horizontal="left" vertical="center" wrapText="1"/>
      <protection locked="0"/>
    </xf>
    <xf numFmtId="174" fontId="12" fillId="0" borderId="27" xfId="0" applyNumberFormat="1" applyFont="1" applyFill="1" applyBorder="1" applyAlignment="1" applyProtection="1">
      <alignment horizontal="left" vertical="center" wrapText="1"/>
      <protection locked="0"/>
    </xf>
    <xf numFmtId="0" fontId="12" fillId="8" borderId="1" xfId="0" applyFont="1" applyFill="1" applyBorder="1" applyAlignment="1" applyProtection="1">
      <alignment horizontal="left" vertical="center" wrapText="1"/>
    </xf>
    <xf numFmtId="0" fontId="12" fillId="0" borderId="2" xfId="0" applyFont="1" applyFill="1" applyBorder="1" applyAlignment="1" applyProtection="1">
      <alignment horizontal="center" vertical="center" wrapText="1"/>
    </xf>
    <xf numFmtId="0" fontId="12" fillId="0" borderId="12" xfId="0" applyFont="1" applyFill="1" applyBorder="1" applyAlignment="1" applyProtection="1">
      <alignment horizontal="center" vertical="center" wrapText="1"/>
    </xf>
    <xf numFmtId="173" fontId="12" fillId="0" borderId="22" xfId="0" applyNumberFormat="1" applyFont="1" applyFill="1" applyBorder="1" applyAlignment="1" applyProtection="1">
      <alignment horizontal="left" vertical="center" wrapText="1"/>
      <protection locked="0"/>
    </xf>
    <xf numFmtId="173" fontId="12" fillId="0" borderId="23" xfId="0" applyNumberFormat="1" applyFont="1" applyFill="1" applyBorder="1" applyAlignment="1" applyProtection="1">
      <alignment horizontal="left" vertical="center" wrapText="1"/>
      <protection locked="0"/>
    </xf>
    <xf numFmtId="173" fontId="12" fillId="0" borderId="28" xfId="0" applyNumberFormat="1" applyFont="1" applyFill="1" applyBorder="1" applyAlignment="1" applyProtection="1">
      <alignment horizontal="left" vertical="center" wrapText="1"/>
      <protection locked="0"/>
    </xf>
    <xf numFmtId="49" fontId="12" fillId="9" borderId="18" xfId="0" applyNumberFormat="1" applyFont="1" applyFill="1" applyBorder="1" applyAlignment="1" applyProtection="1">
      <alignment horizontal="left" vertical="center" wrapText="1"/>
      <protection locked="0"/>
    </xf>
    <xf numFmtId="49" fontId="12" fillId="9" borderId="19" xfId="0" applyNumberFormat="1" applyFont="1" applyFill="1" applyBorder="1" applyAlignment="1" applyProtection="1">
      <alignment horizontal="left" vertical="center" wrapText="1"/>
      <protection locked="0"/>
    </xf>
    <xf numFmtId="49" fontId="12" fillId="9" borderId="26" xfId="0" applyNumberFormat="1" applyFont="1" applyFill="1" applyBorder="1" applyAlignment="1" applyProtection="1">
      <alignment horizontal="left" vertical="center" wrapText="1"/>
      <protection locked="0"/>
    </xf>
    <xf numFmtId="168" fontId="12" fillId="0" borderId="18" xfId="0" applyNumberFormat="1" applyFont="1" applyFill="1" applyBorder="1" applyAlignment="1" applyProtection="1">
      <alignment horizontal="left" vertical="center" wrapText="1"/>
      <protection locked="0"/>
    </xf>
    <xf numFmtId="168" fontId="12" fillId="0" borderId="19" xfId="0" applyNumberFormat="1" applyFont="1" applyFill="1" applyBorder="1" applyAlignment="1" applyProtection="1">
      <alignment horizontal="left" vertical="center" wrapText="1"/>
      <protection locked="0"/>
    </xf>
    <xf numFmtId="168" fontId="12" fillId="0" borderId="26" xfId="0" applyNumberFormat="1" applyFont="1" applyFill="1" applyBorder="1" applyAlignment="1" applyProtection="1">
      <alignment horizontal="left" vertical="center" wrapText="1"/>
      <protection locked="0"/>
    </xf>
    <xf numFmtId="168" fontId="12" fillId="0" borderId="24" xfId="0" applyNumberFormat="1" applyFont="1" applyFill="1" applyBorder="1" applyAlignment="1" applyProtection="1">
      <alignment horizontal="left" vertical="center" wrapText="1"/>
      <protection locked="0"/>
    </xf>
    <xf numFmtId="168" fontId="12" fillId="0" borderId="25" xfId="0" applyNumberFormat="1" applyFont="1" applyFill="1" applyBorder="1" applyAlignment="1" applyProtection="1">
      <alignment horizontal="left" vertical="center" wrapText="1"/>
      <protection locked="0"/>
    </xf>
    <xf numFmtId="168" fontId="12" fillId="0" borderId="29" xfId="0" applyNumberFormat="1" applyFont="1" applyFill="1" applyBorder="1" applyAlignment="1" applyProtection="1">
      <alignment horizontal="left" vertical="center" wrapText="1"/>
      <protection locked="0"/>
    </xf>
    <xf numFmtId="168" fontId="12" fillId="0" borderId="13" xfId="0" applyNumberFormat="1" applyFont="1" applyFill="1" applyBorder="1" applyAlignment="1" applyProtection="1">
      <alignment horizontal="left" vertical="center" wrapText="1"/>
      <protection locked="0"/>
    </xf>
    <xf numFmtId="168" fontId="12" fillId="0" borderId="17" xfId="0" applyNumberFormat="1" applyFont="1" applyFill="1" applyBorder="1" applyAlignment="1" applyProtection="1">
      <alignment horizontal="left" vertical="center" wrapText="1"/>
      <protection locked="0"/>
    </xf>
    <xf numFmtId="168" fontId="12" fillId="0" borderId="14" xfId="0" applyNumberFormat="1" applyFont="1" applyFill="1" applyBorder="1" applyAlignment="1" applyProtection="1">
      <alignment horizontal="left" vertical="center" wrapText="1"/>
      <protection locked="0"/>
    </xf>
    <xf numFmtId="49" fontId="12" fillId="9" borderId="24" xfId="0" applyNumberFormat="1" applyFont="1" applyFill="1" applyBorder="1" applyAlignment="1" applyProtection="1">
      <alignment horizontal="left" vertical="center" wrapText="1"/>
      <protection locked="0"/>
    </xf>
    <xf numFmtId="49" fontId="12" fillId="9" borderId="25" xfId="0" applyNumberFormat="1" applyFont="1" applyFill="1" applyBorder="1" applyAlignment="1" applyProtection="1">
      <alignment horizontal="left" vertical="center" wrapText="1"/>
      <protection locked="0"/>
    </xf>
    <xf numFmtId="49" fontId="12" fillId="9" borderId="29" xfId="0" applyNumberFormat="1" applyFont="1" applyFill="1" applyBorder="1" applyAlignment="1" applyProtection="1">
      <alignment horizontal="left" vertical="center" wrapText="1"/>
      <protection locked="0"/>
    </xf>
    <xf numFmtId="49" fontId="12" fillId="9" borderId="2" xfId="0" applyNumberFormat="1" applyFont="1" applyFill="1" applyBorder="1" applyAlignment="1" applyProtection="1">
      <alignment horizontal="left" vertical="center" wrapText="1"/>
      <protection locked="0"/>
    </xf>
    <xf numFmtId="49" fontId="12" fillId="9" borderId="8" xfId="0" applyNumberFormat="1" applyFont="1" applyFill="1" applyBorder="1" applyAlignment="1" applyProtection="1">
      <alignment horizontal="left" vertical="center" wrapText="1"/>
      <protection locked="0"/>
    </xf>
    <xf numFmtId="49" fontId="12" fillId="9" borderId="12" xfId="0" applyNumberFormat="1" applyFont="1" applyFill="1" applyBorder="1" applyAlignment="1" applyProtection="1">
      <alignment horizontal="left" vertical="center" wrapText="1"/>
      <protection locked="0"/>
    </xf>
    <xf numFmtId="0" fontId="15" fillId="8" borderId="2" xfId="0" applyFont="1" applyFill="1" applyBorder="1" applyAlignment="1" applyProtection="1">
      <alignment horizontal="left" vertical="center" wrapText="1"/>
    </xf>
    <xf numFmtId="0" fontId="15" fillId="8" borderId="8" xfId="0" applyFont="1" applyFill="1" applyBorder="1" applyAlignment="1" applyProtection="1">
      <alignment horizontal="left" vertical="center" wrapText="1"/>
    </xf>
    <xf numFmtId="0" fontId="15" fillId="8" borderId="12" xfId="0" applyFont="1" applyFill="1" applyBorder="1" applyAlignment="1" applyProtection="1">
      <alignment horizontal="left" vertical="center" wrapText="1"/>
    </xf>
    <xf numFmtId="49" fontId="12" fillId="9" borderId="13" xfId="0" applyNumberFormat="1" applyFont="1" applyFill="1" applyBorder="1" applyAlignment="1" applyProtection="1">
      <alignment horizontal="left" vertical="center" wrapText="1"/>
      <protection locked="0"/>
    </xf>
    <xf numFmtId="49" fontId="12" fillId="9" borderId="17" xfId="0" applyNumberFormat="1" applyFont="1" applyFill="1" applyBorder="1" applyAlignment="1" applyProtection="1">
      <alignment horizontal="left" vertical="center" wrapText="1"/>
      <protection locked="0"/>
    </xf>
    <xf numFmtId="49" fontId="12" fillId="9" borderId="14" xfId="0" applyNumberFormat="1" applyFont="1" applyFill="1" applyBorder="1" applyAlignment="1" applyProtection="1">
      <alignment horizontal="left" vertical="center" wrapText="1"/>
      <protection locked="0"/>
    </xf>
    <xf numFmtId="49" fontId="12" fillId="9" borderId="13" xfId="0" applyNumberFormat="1" applyFont="1" applyFill="1" applyBorder="1" applyAlignment="1" applyProtection="1">
      <alignment horizontal="left" vertical="top" wrapText="1"/>
      <protection locked="0"/>
    </xf>
    <xf numFmtId="49" fontId="12" fillId="9" borderId="17" xfId="0" applyNumberFormat="1" applyFont="1" applyFill="1" applyBorder="1" applyAlignment="1" applyProtection="1">
      <alignment horizontal="left" vertical="top" wrapText="1"/>
      <protection locked="0"/>
    </xf>
    <xf numFmtId="49" fontId="12" fillId="9" borderId="14" xfId="0" applyNumberFormat="1" applyFont="1" applyFill="1" applyBorder="1" applyAlignment="1" applyProtection="1">
      <alignment horizontal="left" vertical="top" wrapText="1"/>
      <protection locked="0"/>
    </xf>
    <xf numFmtId="1" fontId="12" fillId="0" borderId="24" xfId="0" applyNumberFormat="1" applyFont="1" applyFill="1" applyBorder="1" applyAlignment="1" applyProtection="1">
      <alignment horizontal="left" vertical="top" wrapText="1"/>
      <protection locked="0"/>
    </xf>
    <xf numFmtId="1" fontId="12" fillId="0" borderId="25" xfId="0" applyNumberFormat="1" applyFont="1" applyFill="1" applyBorder="1" applyAlignment="1" applyProtection="1">
      <alignment horizontal="left" vertical="top" wrapText="1"/>
      <protection locked="0"/>
    </xf>
    <xf numFmtId="1" fontId="12" fillId="0" borderId="29" xfId="0" applyNumberFormat="1" applyFont="1" applyFill="1" applyBorder="1" applyAlignment="1" applyProtection="1">
      <alignment horizontal="left" vertical="top" wrapText="1"/>
      <protection locked="0"/>
    </xf>
    <xf numFmtId="0" fontId="6" fillId="0" borderId="6" xfId="0" applyFont="1" applyFill="1" applyBorder="1" applyAlignment="1" applyProtection="1">
      <alignment horizontal="center"/>
    </xf>
    <xf numFmtId="0" fontId="13" fillId="7" borderId="3" xfId="0" applyFont="1" applyFill="1" applyBorder="1" applyAlignment="1" applyProtection="1">
      <alignment horizontal="left" vertical="top" wrapText="1"/>
    </xf>
    <xf numFmtId="0" fontId="13" fillId="7" borderId="5" xfId="0" applyFont="1" applyFill="1" applyBorder="1" applyAlignment="1" applyProtection="1">
      <alignment horizontal="left" vertical="top" wrapText="1"/>
    </xf>
    <xf numFmtId="0" fontId="13" fillId="7" borderId="4" xfId="0" applyFont="1" applyFill="1" applyBorder="1" applyAlignment="1" applyProtection="1">
      <alignment horizontal="left" vertical="top" wrapText="1"/>
    </xf>
    <xf numFmtId="0" fontId="11" fillId="7" borderId="1" xfId="0" applyFont="1" applyFill="1" applyBorder="1" applyAlignment="1" applyProtection="1">
      <alignment horizontal="center" vertical="center" wrapText="1"/>
    </xf>
    <xf numFmtId="170" fontId="12" fillId="0" borderId="13" xfId="0" applyNumberFormat="1" applyFont="1" applyFill="1" applyBorder="1" applyAlignment="1" applyProtection="1">
      <alignment horizontal="right" vertical="center" wrapText="1"/>
      <protection locked="0"/>
    </xf>
    <xf numFmtId="170" fontId="12" fillId="0" borderId="14" xfId="0" applyNumberFormat="1" applyFont="1" applyFill="1" applyBorder="1" applyAlignment="1" applyProtection="1">
      <alignment horizontal="right" vertical="center" wrapText="1"/>
      <protection locked="0"/>
    </xf>
    <xf numFmtId="49" fontId="12" fillId="9" borderId="7" xfId="0" applyNumberFormat="1" applyFont="1" applyFill="1" applyBorder="1" applyAlignment="1" applyProtection="1">
      <alignment horizontal="left" vertical="center" wrapText="1"/>
      <protection locked="0"/>
    </xf>
    <xf numFmtId="49" fontId="12" fillId="9" borderId="10" xfId="0" applyNumberFormat="1" applyFont="1" applyFill="1" applyBorder="1" applyAlignment="1" applyProtection="1">
      <alignment horizontal="left" vertical="center" wrapText="1"/>
      <protection locked="0"/>
    </xf>
    <xf numFmtId="0" fontId="12" fillId="8" borderId="0" xfId="0" applyFont="1" applyFill="1" applyBorder="1" applyAlignment="1" applyProtection="1">
      <alignment horizontal="left" vertical="center" wrapText="1"/>
    </xf>
    <xf numFmtId="0" fontId="12" fillId="8" borderId="15" xfId="0" applyFont="1" applyFill="1" applyBorder="1" applyAlignment="1" applyProtection="1">
      <alignment horizontal="left" vertical="center" wrapText="1"/>
    </xf>
    <xf numFmtId="0" fontId="12" fillId="9" borderId="11" xfId="0" applyFont="1" applyFill="1" applyBorder="1" applyAlignment="1" applyProtection="1">
      <alignment horizontal="center" vertical="top" wrapText="1"/>
    </xf>
    <xf numFmtId="0" fontId="12" fillId="9" borderId="16" xfId="0" applyFont="1" applyFill="1" applyBorder="1" applyAlignment="1" applyProtection="1">
      <alignment horizontal="center" vertical="top" wrapText="1"/>
    </xf>
    <xf numFmtId="0" fontId="12" fillId="9" borderId="1" xfId="0" applyFont="1" applyFill="1" applyBorder="1" applyAlignment="1" applyProtection="1">
      <alignment horizontal="center" vertical="top" wrapText="1"/>
    </xf>
    <xf numFmtId="49" fontId="12" fillId="0" borderId="1" xfId="0" applyNumberFormat="1" applyFont="1" applyFill="1" applyBorder="1" applyAlignment="1" applyProtection="1">
      <alignment horizontal="left" vertical="center" wrapText="1"/>
      <protection locked="0"/>
    </xf>
    <xf numFmtId="0" fontId="6" fillId="9" borderId="6" xfId="0" applyFont="1" applyFill="1" applyBorder="1" applyAlignment="1" applyProtection="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top"/>
    </xf>
    <xf numFmtId="0" fontId="0" fillId="5" borderId="1" xfId="0" applyFill="1" applyBorder="1" applyAlignment="1">
      <alignment horizontal="center" vertical="top"/>
    </xf>
    <xf numFmtId="0" fontId="2" fillId="3" borderId="1" xfId="0" applyFont="1" applyFill="1" applyBorder="1" applyAlignment="1">
      <alignment horizontal="center" vertical="center" textRotation="90" wrapText="1"/>
    </xf>
    <xf numFmtId="0" fontId="2" fillId="3" borderId="1" xfId="0" applyFont="1" applyFill="1" applyBorder="1" applyAlignment="1">
      <alignment horizontal="center" vertical="center" textRotation="90"/>
    </xf>
    <xf numFmtId="0" fontId="2" fillId="4" borderId="1" xfId="0" applyFont="1" applyFill="1" applyBorder="1" applyAlignment="1">
      <alignment horizontal="center" vertical="center" textRotation="90"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0" fillId="4" borderId="1" xfId="0" applyFill="1" applyBorder="1" applyAlignment="1">
      <alignment horizontal="center" vertical="center" textRotation="90"/>
    </xf>
    <xf numFmtId="0" fontId="0" fillId="3" borderId="1" xfId="0" applyFill="1" applyBorder="1" applyAlignment="1">
      <alignment horizontal="center" vertical="center" textRotation="90" wrapText="1"/>
    </xf>
    <xf numFmtId="0" fontId="4" fillId="4"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4" borderId="1" xfId="0" applyFont="1" applyFill="1" applyBorder="1" applyAlignment="1">
      <alignment horizontal="center" vertical="center" textRotation="90"/>
    </xf>
    <xf numFmtId="0" fontId="0" fillId="3" borderId="1" xfId="0" applyFill="1" applyBorder="1" applyAlignment="1">
      <alignment horizontal="center" vertical="center"/>
    </xf>
    <xf numFmtId="0" fontId="2" fillId="4" borderId="1" xfId="0" applyFont="1" applyFill="1" applyBorder="1" applyAlignment="1">
      <alignment horizontal="center" vertical="center"/>
    </xf>
    <xf numFmtId="0" fontId="0" fillId="4" borderId="1" xfId="0" applyFill="1" applyBorder="1" applyAlignment="1">
      <alignment horizontal="center" vertical="center"/>
    </xf>
    <xf numFmtId="0" fontId="5" fillId="4" borderId="1" xfId="0" applyFont="1" applyFill="1" applyBorder="1" applyAlignment="1">
      <alignment horizontal="center" vertical="center" textRotation="90" wrapText="1"/>
    </xf>
    <xf numFmtId="0" fontId="2" fillId="4" borderId="6" xfId="0" applyFont="1" applyFill="1" applyBorder="1" applyAlignment="1">
      <alignment horizontal="center" vertical="center" textRotation="90" wrapText="1"/>
    </xf>
    <xf numFmtId="0" fontId="2" fillId="4" borderId="0" xfId="0" applyFont="1" applyFill="1" applyBorder="1" applyAlignment="1">
      <alignment horizontal="center" vertical="center" textRotation="90" wrapText="1"/>
    </xf>
    <xf numFmtId="0" fontId="2" fillId="4" borderId="7" xfId="0" applyFont="1" applyFill="1" applyBorder="1" applyAlignment="1">
      <alignment horizontal="center" vertical="center" textRotation="90" wrapText="1"/>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6" fillId="4" borderId="3" xfId="0" applyFont="1" applyFill="1" applyBorder="1" applyAlignment="1">
      <alignment horizontal="center" vertical="center" textRotation="90" wrapText="1"/>
    </xf>
    <xf numFmtId="0" fontId="6" fillId="4" borderId="5" xfId="0" applyFont="1" applyFill="1" applyBorder="1" applyAlignment="1">
      <alignment horizontal="center" vertical="center" textRotation="90" wrapText="1"/>
    </xf>
    <xf numFmtId="0" fontId="6"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0" fillId="4" borderId="5" xfId="0" applyFill="1" applyBorder="1" applyAlignment="1">
      <alignment horizontal="center" vertical="center" textRotation="90" wrapText="1"/>
    </xf>
    <xf numFmtId="0" fontId="0" fillId="4" borderId="4" xfId="0" applyFill="1" applyBorder="1" applyAlignment="1">
      <alignment horizontal="center" vertical="center" textRotation="90" wrapText="1"/>
    </xf>
    <xf numFmtId="0" fontId="5" fillId="4" borderId="3" xfId="0" applyFont="1" applyFill="1" applyBorder="1" applyAlignment="1">
      <alignment horizontal="center" vertical="center" textRotation="90" wrapText="1"/>
    </xf>
    <xf numFmtId="0" fontId="5" fillId="4" borderId="5" xfId="0" applyFont="1" applyFill="1" applyBorder="1" applyAlignment="1">
      <alignment horizontal="center" vertical="center" textRotation="90" wrapText="1"/>
    </xf>
    <xf numFmtId="0" fontId="5" fillId="4" borderId="4" xfId="0" applyFont="1" applyFill="1" applyBorder="1" applyAlignment="1">
      <alignment horizontal="center" vertical="center" textRotation="90" wrapText="1"/>
    </xf>
    <xf numFmtId="0" fontId="0" fillId="4" borderId="1" xfId="0" applyFill="1" applyBorder="1" applyAlignment="1">
      <alignment horizontal="center" vertical="center" textRotation="90" wrapText="1"/>
    </xf>
    <xf numFmtId="0" fontId="7" fillId="4" borderId="1" xfId="0" applyFont="1" applyFill="1" applyBorder="1" applyAlignment="1">
      <alignment horizontal="center" vertical="center" textRotation="90" wrapText="1"/>
    </xf>
    <xf numFmtId="0" fontId="7" fillId="3" borderId="1" xfId="0" applyFont="1" applyFill="1" applyBorder="1" applyAlignment="1">
      <alignment horizontal="center" vertical="center" textRotation="90" wrapText="1"/>
    </xf>
  </cellXfs>
  <cellStyles count="4">
    <cellStyle name="Гиперссылка" xfId="1" builtinId="8"/>
    <cellStyle name="Обычный" xfId="0" builtinId="0"/>
    <cellStyle name="Обычный 2" xfId="2" xr:uid="{00000000-0005-0000-0000-000031000000}"/>
    <cellStyle name="Обычный 3" xfId="3" xr:uid="{00000000-0005-0000-0000-000032000000}"/>
  </cellStyles>
  <dxfs count="3">
    <dxf>
      <font>
        <b val="0"/>
        <i val="0"/>
        <strike val="0"/>
        <u val="none"/>
        <sz val="10"/>
        <color rgb="FF000000"/>
        <name val="Arial Narrow"/>
        <scheme val="none"/>
      </font>
      <fill>
        <patternFill patternType="none"/>
      </fill>
      <alignment vertical="center"/>
    </dxf>
    <dxf>
      <font>
        <b/>
        <i/>
        <strike val="0"/>
        <u val="none"/>
        <sz val="10"/>
        <color rgb="FF000000"/>
        <name val="Arial Narrow"/>
        <scheme val="none"/>
      </font>
      <fill>
        <patternFill patternType="none"/>
      </fill>
      <alignment vertical="center"/>
    </dxf>
    <dxf>
      <font>
        <b val="0"/>
        <i val="0"/>
        <strike val="0"/>
        <u val="none"/>
        <sz val="10"/>
        <color rgb="FF000000"/>
        <name val="Arial Narrow"/>
        <scheme val="none"/>
      </font>
      <fill>
        <patternFill patternType="none"/>
      </fill>
      <alignment horizontal="center" vertical="center"/>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trlProps/ctrlProp1.xml><?xml version="1.0" encoding="utf-8"?>
<formControlPr xmlns="http://schemas.microsoft.com/office/spreadsheetml/2009/9/main" objectType="Radio" checked="Checked" firstButton="1" fmlaLink="Export!$D$34" noThreeD="1"/>
</file>

<file path=xl/ctrlProps/ctrlProp2.xml><?xml version="1.0" encoding="utf-8"?>
<formControlPr xmlns="http://schemas.microsoft.com/office/spreadsheetml/2009/9/main" objectType="Radio" noThreeD="1"/>
</file>

<file path=xl/ctrlProps/ctrlProp3.xml><?xml version="1.0" encoding="utf-8"?>
<formControlPr xmlns="http://schemas.microsoft.com/office/spreadsheetml/2009/9/main" objectType="Radio" noThreeD="1"/>
</file>

<file path=xl/ctrlProps/ctrlProp4.xml><?xml version="1.0" encoding="utf-8"?>
<formControlPr xmlns="http://schemas.microsoft.com/office/spreadsheetml/2009/9/main" objectType="Radio" noThreeD="1"/>
</file>

<file path=xl/ctrlProps/ctrlProp5.xml><?xml version="1.0" encoding="utf-8"?>
<formControlPr xmlns="http://schemas.microsoft.com/office/spreadsheetml/2009/9/main" objectType="Radio" firstButton="1" fmlaLink="Export!$D$32" noThreeD="1"/>
</file>

<file path=xl/ctrlProps/ctrlProp6.xml><?xml version="1.0" encoding="utf-8"?>
<formControlPr xmlns="http://schemas.microsoft.com/office/spreadsheetml/2009/9/main" objectType="Radio" noThreeD="1"/>
</file>

<file path=xl/ctrlProps/ctrlProp7.xml><?xml version="1.0" encoding="utf-8"?>
<formControlPr xmlns="http://schemas.microsoft.com/office/spreadsheetml/2009/9/main" objectType="Radio" noThreeD="1"/>
</file>

<file path=xl/ctrlProps/ctrlProp8.xml><?xml version="1.0" encoding="utf-8"?>
<formControlPr xmlns="http://schemas.microsoft.com/office/spreadsheetml/2009/9/main" objectType="Radio" noThreeD="1"/>
</file>

<file path=xl/ctrlProps/ctrlProp9.xml><?xml version="1.0" encoding="utf-8"?>
<formControlPr xmlns="http://schemas.microsoft.com/office/spreadsheetml/2009/9/main" objectType="CheckBox" fmlaLink="Export!$D$83" noThreeD="1"/>
</file>

<file path=xl/ctrlProps/ctrlProp10.xml><?xml version="1.0" encoding="utf-8"?>
<formControlPr xmlns="http://schemas.microsoft.com/office/spreadsheetml/2009/9/main" objectType="CheckBox" fmlaLink="Export!$D$85" noThreeD="1"/>
</file>

<file path=xl/ctrlProps/ctrlProp11.xml><?xml version="1.0" encoding="utf-8"?>
<formControlPr xmlns="http://schemas.microsoft.com/office/spreadsheetml/2009/9/main" objectType="Radio" checked="Checked" firstButton="1" fmlaLink="Export!$D$93" noThreeD="1"/>
</file>

<file path=xl/ctrlProps/ctrlProp12.xml><?xml version="1.0" encoding="utf-8"?>
<formControlPr xmlns="http://schemas.microsoft.com/office/spreadsheetml/2009/9/main" objectType="Radio" noThreeD="1"/>
</file>

<file path=xl/ctrlProps/ctrlProp13.xml><?xml version="1.0" encoding="utf-8"?>
<formControlPr xmlns="http://schemas.microsoft.com/office/spreadsheetml/2009/9/main" objectType="Radio" checked="Checked" firstButton="1" fmlaLink="Export!$D$94" noThreeD="1"/>
</file>

<file path=xl/ctrlProps/ctrlProp14.xml><?xml version="1.0" encoding="utf-8"?>
<formControlPr xmlns="http://schemas.microsoft.com/office/spreadsheetml/2009/9/main" objectType="Radio" noThreeD="1"/>
</file>

<file path=xl/ctrlProps/ctrlProp15.xml><?xml version="1.0" encoding="utf-8"?>
<formControlPr xmlns="http://schemas.microsoft.com/office/spreadsheetml/2009/9/main" objectType="Radio" checked="Checked" firstButton="1" fmlaLink="Export!$D$96" noThreeD="1"/>
</file>

<file path=xl/ctrlProps/ctrlProp16.xml><?xml version="1.0" encoding="utf-8"?>
<formControlPr xmlns="http://schemas.microsoft.com/office/spreadsheetml/2009/9/main" objectType="Radio" noThreeD="1"/>
</file>

<file path=xl/ctrlProps/ctrlProp17.xml><?xml version="1.0" encoding="utf-8"?>
<formControlPr xmlns="http://schemas.microsoft.com/office/spreadsheetml/2009/9/main" objectType="Radio" firstButton="1" fmlaLink="Export!$D$98" noThreeD="1"/>
</file>

<file path=xl/ctrlProps/ctrlProp18.xml><?xml version="1.0" encoding="utf-8"?>
<formControlPr xmlns="http://schemas.microsoft.com/office/spreadsheetml/2009/9/main" objectType="Radio" checked="Checked" noThreeD="1"/>
</file>

<file path=xl/ctrlProps/ctrlProp19.xml><?xml version="1.0" encoding="utf-8"?>
<formControlPr xmlns="http://schemas.microsoft.com/office/spreadsheetml/2009/9/main" objectType="Radio" firstButton="1" fmlaLink="Export!$D$99" noThreeD="1"/>
</file>

<file path=xl/ctrlProps/ctrlProp20.xml><?xml version="1.0" encoding="utf-8"?>
<formControlPr xmlns="http://schemas.microsoft.com/office/spreadsheetml/2009/9/main" objectType="Radio" checked="Checked" noThreeD="1"/>
</file>

<file path=xl/ctrlProps/ctrlProp21.xml><?xml version="1.0" encoding="utf-8"?>
<formControlPr xmlns="http://schemas.microsoft.com/office/spreadsheetml/2009/9/main" objectType="Radio" noThreeD="1"/>
</file>

<file path=xl/ctrlProps/ctrlProp22.xml><?xml version="1.0" encoding="utf-8"?>
<formControlPr xmlns="http://schemas.microsoft.com/office/spreadsheetml/2009/9/main" objectType="Radio" noThreeD="1"/>
</file>

<file path=xl/ctrlProps/ctrlProp23.xml><?xml version="1.0" encoding="utf-8"?>
<formControlPr xmlns="http://schemas.microsoft.com/office/spreadsheetml/2009/9/main" objectType="Radio" noThreeD="1"/>
</file>

<file path=xl/ctrlProps/ctrlProp24.xml><?xml version="1.0" encoding="utf-8"?>
<formControlPr xmlns="http://schemas.microsoft.com/office/spreadsheetml/2009/9/main" objectType="Radio" noThreeD="1"/>
</file>

<file path=xl/ctrlProps/ctrlProp25.xml><?xml version="1.0" encoding="utf-8"?>
<formControlPr xmlns="http://schemas.microsoft.com/office/spreadsheetml/2009/9/main" objectType="Radio" firstButton="1" fmlaLink="Export!$D$103" noThreeD="1"/>
</file>

<file path=xl/ctrlProps/ctrlProp26.xml><?xml version="1.0" encoding="utf-8"?>
<formControlPr xmlns="http://schemas.microsoft.com/office/spreadsheetml/2009/9/main" objectType="Radio" checked="Checked" noThreeD="1"/>
</file>

<file path=xl/ctrlProps/ctrlProp27.xml><?xml version="1.0" encoding="utf-8"?>
<formControlPr xmlns="http://schemas.microsoft.com/office/spreadsheetml/2009/9/main" objectType="Radio" noThreeD="1"/>
</file>

<file path=xl/ctrlProps/ctrlProp28.xml><?xml version="1.0" encoding="utf-8"?>
<formControlPr xmlns="http://schemas.microsoft.com/office/spreadsheetml/2009/9/main" objectType="Radio" noThreeD="1"/>
</file>

<file path=xl/ctrlProps/ctrlProp29.xml><?xml version="1.0" encoding="utf-8"?>
<formControlPr xmlns="http://schemas.microsoft.com/office/spreadsheetml/2009/9/main" objectType="Radio" noThreeD="1"/>
</file>

<file path=xl/ctrlProps/ctrlProp30.xml><?xml version="1.0" encoding="utf-8"?>
<formControlPr xmlns="http://schemas.microsoft.com/office/spreadsheetml/2009/9/main" objectType="Radio" firstButton="1" fmlaLink="Export!$D$105" noThreeD="1"/>
</file>

<file path=xl/ctrlProps/ctrlProp31.xml><?xml version="1.0" encoding="utf-8"?>
<formControlPr xmlns="http://schemas.microsoft.com/office/spreadsheetml/2009/9/main" objectType="Radio" checked="Checked" noThreeD="1"/>
</file>

<file path=xl/ctrlProps/ctrlProp32.xml><?xml version="1.0" encoding="utf-8"?>
<formControlPr xmlns="http://schemas.microsoft.com/office/spreadsheetml/2009/9/main" objectType="Radio" firstButton="1" fmlaLink="Export!$D$107" noThreeD="1"/>
</file>

<file path=xl/ctrlProps/ctrlProp33.xml><?xml version="1.0" encoding="utf-8"?>
<formControlPr xmlns="http://schemas.microsoft.com/office/spreadsheetml/2009/9/main" objectType="Radio" checked="Checked" noThreeD="1"/>
</file>

<file path=xl/ctrlProps/ctrlProp34.xml><?xml version="1.0" encoding="utf-8"?>
<formControlPr xmlns="http://schemas.microsoft.com/office/spreadsheetml/2009/9/main" objectType="Radio" checked="Checked" firstButton="1" fmlaLink="Export!$D$101" noThreeD="1"/>
</file>

<file path=xl/ctrlProps/ctrlProp35.xml><?xml version="1.0" encoding="utf-8"?>
<formControlPr xmlns="http://schemas.microsoft.com/office/spreadsheetml/2009/9/main" objectType="Radio" noThreeD="1"/>
</file>

<file path=xl/ctrlProps/ctrlProp36.xml><?xml version="1.0" encoding="utf-8"?>
<formControlPr xmlns="http://schemas.microsoft.com/office/spreadsheetml/2009/9/main" objectType="Radio" noThreeD="1"/>
</file>

<file path=xl/ctrlProps/ctrlProp37.xml><?xml version="1.0" encoding="utf-8"?>
<formControlPr xmlns="http://schemas.microsoft.com/office/spreadsheetml/2009/9/main" objectType="Radio" firstButton="1" fmlaLink="Export!$D$108" noThreeD="1"/>
</file>

<file path=xl/ctrlProps/ctrlProp38.xml><?xml version="1.0" encoding="utf-8"?>
<formControlPr xmlns="http://schemas.microsoft.com/office/spreadsheetml/2009/9/main" objectType="Radio" noThreeD="1"/>
</file>

<file path=xl/ctrlProps/ctrlProp39.xml><?xml version="1.0" encoding="utf-8"?>
<formControlPr xmlns="http://schemas.microsoft.com/office/spreadsheetml/2009/9/main" objectType="Radio" noThreeD="1"/>
</file>

<file path=xl/ctrlProps/ctrlProp40.xml><?xml version="1.0" encoding="utf-8"?>
<formControlPr xmlns="http://schemas.microsoft.com/office/spreadsheetml/2009/9/main" objectType="Radio" checked="Checked" noThreeD="1"/>
</file>

<file path=xl/ctrlProps/ctrlProp41.xml><?xml version="1.0" encoding="utf-8"?>
<formControlPr xmlns="http://schemas.microsoft.com/office/spreadsheetml/2009/9/main" objectType="Radio" checked="Checked" firstButton="1" fmlaLink="Export!$D$112" noThreeD="1"/>
</file>

<file path=xl/ctrlProps/ctrlProp42.xml><?xml version="1.0" encoding="utf-8"?>
<formControlPr xmlns="http://schemas.microsoft.com/office/spreadsheetml/2009/9/main" objectType="Radio" noThreeD="1"/>
</file>

<file path=xl/ctrlProps/ctrlProp43.xml><?xml version="1.0" encoding="utf-8"?>
<formControlPr xmlns="http://schemas.microsoft.com/office/spreadsheetml/2009/9/main" objectType="Radio" firstButton="1" fmlaLink="Export!$D$113" noThreeD="1"/>
</file>

<file path=xl/ctrlProps/ctrlProp44.xml><?xml version="1.0" encoding="utf-8"?>
<formControlPr xmlns="http://schemas.microsoft.com/office/spreadsheetml/2009/9/main" objectType="Radio" checked="Checked" noThreeD="1"/>
</file>

<file path=xl/ctrlProps/ctrlProp45.xml><?xml version="1.0" encoding="utf-8"?>
<formControlPr xmlns="http://schemas.microsoft.com/office/spreadsheetml/2009/9/main" objectType="Radio" firstButton="1" fmlaLink="Export!$D$115" noThreeD="1"/>
</file>

<file path=xl/ctrlProps/ctrlProp46.xml><?xml version="1.0" encoding="utf-8"?>
<formControlPr xmlns="http://schemas.microsoft.com/office/spreadsheetml/2009/9/main" objectType="Radio" checked="Checked" noThreeD="1"/>
</file>

<file path=xl/ctrlProps/ctrlProp47.xml><?xml version="1.0" encoding="utf-8"?>
<formControlPr xmlns="http://schemas.microsoft.com/office/spreadsheetml/2009/9/main" objectType="Radio" firstButton="1" fmlaLink="Export!$D$116" noThreeD="1"/>
</file>

<file path=xl/ctrlProps/ctrlProp48.xml><?xml version="1.0" encoding="utf-8"?>
<formControlPr xmlns="http://schemas.microsoft.com/office/spreadsheetml/2009/9/main" objectType="Radio" checked="Checked" noThreeD="1"/>
</file>

<file path=xl/ctrlProps/ctrlProp49.xml><?xml version="1.0" encoding="utf-8"?>
<formControlPr xmlns="http://schemas.microsoft.com/office/spreadsheetml/2009/9/main" objectType="Radio" firstButton="1" fmlaLink="Export!$D$119" noThreeD="1"/>
</file>

<file path=xl/ctrlProps/ctrlProp50.xml><?xml version="1.0" encoding="utf-8"?>
<formControlPr xmlns="http://schemas.microsoft.com/office/spreadsheetml/2009/9/main" objectType="Radio" checked="Checked" noThreeD="1"/>
</file>

<file path=xl/ctrlProps/ctrlProp51.xml><?xml version="1.0" encoding="utf-8"?>
<formControlPr xmlns="http://schemas.microsoft.com/office/spreadsheetml/2009/9/main" objectType="Radio" firstButton="1" fmlaLink="Export!$D$109" noThreeD="1"/>
</file>

<file path=xl/ctrlProps/ctrlProp52.xml><?xml version="1.0" encoding="utf-8"?>
<formControlPr xmlns="http://schemas.microsoft.com/office/spreadsheetml/2009/9/main" objectType="Radio" checked="Checked" noThreeD="1"/>
</file>

<file path=xl/ctrlProps/ctrlProp53.xml><?xml version="1.0" encoding="utf-8"?>
<formControlPr xmlns="http://schemas.microsoft.com/office/spreadsheetml/2009/9/main" objectType="Radio" checked="Checked" firstButton="1" fmlaLink="Export!$D$110" noThreeD="1"/>
</file>

<file path=xl/ctrlProps/ctrlProp54.xml><?xml version="1.0" encoding="utf-8"?>
<formControlPr xmlns="http://schemas.microsoft.com/office/spreadsheetml/2009/9/main" objectType="Radio" noThreeD="1"/>
</file>

<file path=xl/ctrlProps/ctrlProp55.xml><?xml version="1.0" encoding="utf-8"?>
<formControlPr xmlns="http://schemas.microsoft.com/office/spreadsheetml/2009/9/main" objectType="Radio" checked="Checked" firstButton="1" fmlaLink="Export!$D$111" noThreeD="1"/>
</file>

<file path=xl/ctrlProps/ctrlProp56.xml><?xml version="1.0" encoding="utf-8"?>
<formControlPr xmlns="http://schemas.microsoft.com/office/spreadsheetml/2009/9/main" objectType="Radio" noThreeD="1"/>
</file>

<file path=xl/ctrlProps/ctrlProp57.xml><?xml version="1.0" encoding="utf-8"?>
<formControlPr xmlns="http://schemas.microsoft.com/office/spreadsheetml/2009/9/main" objectType="Radio" noThreeD="1"/>
</file>

<file path=xl/ctrlProps/ctrlProp58.xml><?xml version="1.0" encoding="utf-8"?>
<formControlPr xmlns="http://schemas.microsoft.com/office/spreadsheetml/2009/9/main" objectType="Radio" noThreeD="1"/>
</file>

<file path=xl/ctrlProps/ctrlProp59.xml><?xml version="1.0" encoding="utf-8"?>
<formControlPr xmlns="http://schemas.microsoft.com/office/spreadsheetml/2009/9/main" objectType="Radio" firstButton="1" fmlaLink="Export!$D$114" noThreeD="1"/>
</file>

<file path=xl/ctrlProps/ctrlProp60.xml><?xml version="1.0" encoding="utf-8"?>
<formControlPr xmlns="http://schemas.microsoft.com/office/spreadsheetml/2009/9/main" objectType="Radio" noThreeD="1"/>
</file>

<file path=xl/ctrlProps/ctrlProp61.xml><?xml version="1.0" encoding="utf-8"?>
<formControlPr xmlns="http://schemas.microsoft.com/office/spreadsheetml/2009/9/main" objectType="Radio" noThreeD="1"/>
</file>

<file path=xl/ctrlProps/ctrlProp62.xml><?xml version="1.0" encoding="utf-8"?>
<formControlPr xmlns="http://schemas.microsoft.com/office/spreadsheetml/2009/9/main" objectType="Radio" noThreeD="1"/>
</file>

<file path=xl/ctrlProps/ctrlProp63.xml><?xml version="1.0" encoding="utf-8"?>
<formControlPr xmlns="http://schemas.microsoft.com/office/spreadsheetml/2009/9/main" objectType="Radio" noThreeD="1"/>
</file>

<file path=xl/ctrlProps/ctrlProp64.xml><?xml version="1.0" encoding="utf-8"?>
<formControlPr xmlns="http://schemas.microsoft.com/office/spreadsheetml/2009/9/main" objectType="Radio" firstButton="1" fmlaLink="Export!$D$89" noThreeD="1"/>
</file>

<file path=xl/ctrlProps/ctrlProp65.xml><?xml version="1.0" encoding="utf-8"?>
<formControlPr xmlns="http://schemas.microsoft.com/office/spreadsheetml/2009/9/main" objectType="Radio" checked="Checked" noThreeD="1"/>
</file>

<file path=xl/ctrlProps/ctrlProp66.xml><?xml version="1.0" encoding="utf-8"?>
<formControlPr xmlns="http://schemas.microsoft.com/office/spreadsheetml/2009/9/main" objectType="Radio" firstButton="1" fmlaLink="Export!$D$36" noThreeD="1"/>
</file>

<file path=xl/ctrlProps/ctrlProp67.xml><?xml version="1.0" encoding="utf-8"?>
<formControlPr xmlns="http://schemas.microsoft.com/office/spreadsheetml/2009/9/main" objectType="Radio" noThreeD="1"/>
</file>

<file path=xl/ctrlProps/ctrlProp68.xml><?xml version="1.0" encoding="utf-8"?>
<formControlPr xmlns="http://schemas.microsoft.com/office/spreadsheetml/2009/9/main" objectType="Radio" firstButton="1" fmlaLink="Export!$D$117" noThreeD="1"/>
</file>

<file path=xl/ctrlProps/ctrlProp69.xml><?xml version="1.0" encoding="utf-8"?>
<formControlPr xmlns="http://schemas.microsoft.com/office/spreadsheetml/2009/9/main" objectType="Radio" noThreeD="1"/>
</file>

<file path=xl/ctrlProps/ctrlProp70.xml><?xml version="1.0" encoding="utf-8"?>
<formControlPr xmlns="http://schemas.microsoft.com/office/spreadsheetml/2009/9/main" objectType="Radio" checked="Checked" noThreeD="1"/>
</file>

<file path=xl/ctrlProps/ctrlProp71.xml><?xml version="1.0" encoding="utf-8"?>
<formControlPr xmlns="http://schemas.microsoft.com/office/spreadsheetml/2009/9/main" objectType="Radio" checked="Checked" firstButton="1" fmlaLink="Export!$D$120" noThreeD="1"/>
</file>

<file path=xl/ctrlProps/ctrlProp72.xml><?xml version="1.0" encoding="utf-8"?>
<formControlPr xmlns="http://schemas.microsoft.com/office/spreadsheetml/2009/9/main" objectType="Radio" noThreeD="1"/>
</file>

<file path=xl/ctrlProps/ctrlProp73.xml><?xml version="1.0" encoding="utf-8"?>
<formControlPr xmlns="http://schemas.microsoft.com/office/spreadsheetml/2009/9/main" objectType="Radio" firstButton="1" fmlaLink="Export!$D$106" noThreeD="1"/>
</file>

<file path=xl/ctrlProps/ctrlProp74.xml><?xml version="1.0" encoding="utf-8"?>
<formControlPr xmlns="http://schemas.microsoft.com/office/spreadsheetml/2009/9/main" objectType="Radio" noThreeD="1"/>
</file>

<file path=xl/ctrlProps/ctrlProp75.xml><?xml version="1.0" encoding="utf-8"?>
<formControlPr xmlns="http://schemas.microsoft.com/office/spreadsheetml/2009/9/main" objectType="Radio" noThreeD="1"/>
</file>

<file path=xl/ctrlProps/ctrlProp76.xml><?xml version="1.0" encoding="utf-8"?>
<formControlPr xmlns="http://schemas.microsoft.com/office/spreadsheetml/2009/9/main" objectType="CheckBox" fmlaLink="Export!$D$37" noThreeD="1"/>
</file>

<file path=xl/ctrlProps/ctrlProp77.xml><?xml version="1.0" encoding="utf-8"?>
<formControlPr xmlns="http://schemas.microsoft.com/office/spreadsheetml/2009/9/main" objectType="CheckBox" checked="Checked" fmlaLink="Export!$D$74" noThreeD="1"/>
</file>

<file path=xl/ctrlProps/ctrlProp78.xml><?xml version="1.0" encoding="utf-8"?>
<formControlPr xmlns="http://schemas.microsoft.com/office/spreadsheetml/2009/9/main" objectType="CheckBox" checked="Checked" fmlaLink="Export!$D$75" noThreeD="1"/>
</file>

<file path=xl/ctrlProps/ctrlProp79.xml><?xml version="1.0" encoding="utf-8"?>
<formControlPr xmlns="http://schemas.microsoft.com/office/spreadsheetml/2009/9/main" objectType="CheckBox" checked="Checked" fmlaLink="Export!$D$76" noThreeD="1"/>
</file>

<file path=xl/ctrlProps/ctrlProp80.xml><?xml version="1.0" encoding="utf-8"?>
<formControlPr xmlns="http://schemas.microsoft.com/office/spreadsheetml/2009/9/main" objectType="CheckBox" checked="Checked" fmlaLink="Export!$D$77" noThreeD="1"/>
</file>

<file path=xl/ctrlProps/ctrlProp81.xml><?xml version="1.0" encoding="utf-8"?>
<formControlPr xmlns="http://schemas.microsoft.com/office/spreadsheetml/2009/9/main" objectType="CheckBox" checked="Checked" fmlaLink="Export!$D$78" noThreeD="1"/>
</file>

<file path=xl/ctrlProps/ctrlProp82.xml><?xml version="1.0" encoding="utf-8"?>
<formControlPr xmlns="http://schemas.microsoft.com/office/spreadsheetml/2009/9/main" objectType="CheckBox" fmlaLink="Export!$D$79" noThreeD="1"/>
</file>

<file path=xl/ctrlProps/ctrlProp83.xml><?xml version="1.0" encoding="utf-8"?>
<formControlPr xmlns="http://schemas.microsoft.com/office/spreadsheetml/2009/9/main" objectType="CheckBox" fmlaLink="Export!$D$80" noThreeD="1"/>
</file>

<file path=xl/ctrlProps/ctrlProp84.xml><?xml version="1.0" encoding="utf-8"?>
<formControlPr xmlns="http://schemas.microsoft.com/office/spreadsheetml/2009/9/main" objectType="CheckBox" checked="Checked" fmlaLink="Export!$D$81" noThreeD="1"/>
</file>

<file path=xl/ctrlProps/ctrlProp85.xml><?xml version="1.0" encoding="utf-8"?>
<formControlPr xmlns="http://schemas.microsoft.com/office/spreadsheetml/2009/9/main" objectType="CheckBox" fmlaLink="Export!$D$82" noThreeD="1"/>
</file>

<file path=xl/ctrlProps/ctrlProp86.xml><?xml version="1.0" encoding="utf-8"?>
<formControlPr xmlns="http://schemas.microsoft.com/office/spreadsheetml/2009/9/main" objectType="Radio" firstButton="1" fmlaLink="Export!$D$73" noThreeD="1"/>
</file>

<file path=xl/ctrlProps/ctrlProp87.xml><?xml version="1.0" encoding="utf-8"?>
<formControlPr xmlns="http://schemas.microsoft.com/office/spreadsheetml/2009/9/main" objectType="Radio" noThreeD="1"/>
</file>

<file path=xl/ctrlProps/ctrlProp88.xml><?xml version="1.0" encoding="utf-8"?>
<formControlPr xmlns="http://schemas.microsoft.com/office/spreadsheetml/2009/9/main" objectType="CheckBox" fmlaLink="Export!$D$130" noThreeD="1"/>
</file>

<file path=xl/ctrlProps/ctrlProp89.xml><?xml version="1.0" encoding="utf-8"?>
<formControlPr xmlns="http://schemas.microsoft.com/office/spreadsheetml/2009/9/main" objectType="CheckBox" fmlaLink="Export!$D$131" noThreeD="1"/>
</file>

<file path=xl/ctrlProps/ctrlProp90.xml><?xml version="1.0" encoding="utf-8"?>
<formControlPr xmlns="http://schemas.microsoft.com/office/spreadsheetml/2009/9/main" objectType="CheckBox" fmlaLink="Export!$D$133" noThreeD="1"/>
</file>

<file path=xl/ctrlProps/ctrlProp91.xml><?xml version="1.0" encoding="utf-8"?>
<formControlPr xmlns="http://schemas.microsoft.com/office/spreadsheetml/2009/9/main" objectType="CheckBox" fmlaLink="Export!$D$134" noThreeD="1"/>
</file>

<file path=xl/ctrlProps/ctrlProp92.xml><?xml version="1.0" encoding="utf-8"?>
<formControlPr xmlns="http://schemas.microsoft.com/office/spreadsheetml/2009/9/main" objectType="CheckBox" fmlaLink="Export!$D$135" noThreeD="1"/>
</file>

<file path=xl/ctrlProps/ctrlProp93.xml><?xml version="1.0" encoding="utf-8"?>
<formControlPr xmlns="http://schemas.microsoft.com/office/spreadsheetml/2009/9/main" objectType="GBox" noThreeD="1"/>
</file>

<file path=xl/ctrlProps/ctrlProp94.xml><?xml version="1.0" encoding="utf-8"?>
<formControlPr xmlns="http://schemas.microsoft.com/office/spreadsheetml/2009/9/main" objectType="GBox" noThreeD="1"/>
</file>

<file path=xl/ctrlProps/ctrlProp95.xml><?xml version="1.0" encoding="utf-8"?>
<formControlPr xmlns="http://schemas.microsoft.com/office/spreadsheetml/2009/9/main" objectType="GBox" noThreeD="1"/>
</file>

<file path=xl/ctrlProps/ctrlProp96.xml><?xml version="1.0" encoding="utf-8"?>
<formControlPr xmlns="http://schemas.microsoft.com/office/spreadsheetml/2009/9/main" objectType="GBox" noThreeD="1"/>
</file>

<file path=xl/ctrlProps/ctrlProp97.xml><?xml version="1.0" encoding="utf-8"?>
<formControlPr xmlns="http://schemas.microsoft.com/office/spreadsheetml/2009/9/main" objectType="GBox" noThreeD="1"/>
</file>

<file path=xl/ctrlProps/ctrlProp98.xml><?xml version="1.0" encoding="utf-8"?>
<formControlPr xmlns="http://schemas.microsoft.com/office/spreadsheetml/2009/9/main" objectType="GBox" noThreeD="1"/>
</file>

<file path=xl/ctrlProps/ctrlProp99.xml><?xml version="1.0" encoding="utf-8"?>
<formControlPr xmlns="http://schemas.microsoft.com/office/spreadsheetml/2009/9/main" objectType="GBox" noThreeD="1"/>
</file>

<file path=xl/ctrlProps/ctrlProp100.xml><?xml version="1.0" encoding="utf-8"?>
<formControlPr xmlns="http://schemas.microsoft.com/office/spreadsheetml/2009/9/main" objectType="GBox" noThreeD="1"/>
</file>

<file path=xl/ctrlProps/ctrlProp101.xml><?xml version="1.0" encoding="utf-8"?>
<formControlPr xmlns="http://schemas.microsoft.com/office/spreadsheetml/2009/9/main" objectType="GBox" noThreeD="1"/>
</file>

<file path=xl/ctrlProps/ctrlProp102.xml><?xml version="1.0" encoding="utf-8"?>
<formControlPr xmlns="http://schemas.microsoft.com/office/spreadsheetml/2009/9/main" objectType="GBox" noThreeD="1"/>
</file>

<file path=xl/ctrlProps/ctrlProp103.xml><?xml version="1.0" encoding="utf-8"?>
<formControlPr xmlns="http://schemas.microsoft.com/office/spreadsheetml/2009/9/main" objectType="GBox" noThreeD="1"/>
</file>

<file path=xl/ctrlProps/ctrlProp104.xml><?xml version="1.0" encoding="utf-8"?>
<formControlPr xmlns="http://schemas.microsoft.com/office/spreadsheetml/2009/9/main" objectType="GBox" noThreeD="1"/>
</file>

<file path=xl/ctrlProps/ctrlProp105.xml><?xml version="1.0" encoding="utf-8"?>
<formControlPr xmlns="http://schemas.microsoft.com/office/spreadsheetml/2009/9/main" objectType="GBox" noThreeD="1"/>
</file>

<file path=xl/ctrlProps/ctrlProp106.xml><?xml version="1.0" encoding="utf-8"?>
<formControlPr xmlns="http://schemas.microsoft.com/office/spreadsheetml/2009/9/main" objectType="GBox" noThreeD="1"/>
</file>

<file path=xl/ctrlProps/ctrlProp107.xml><?xml version="1.0" encoding="utf-8"?>
<formControlPr xmlns="http://schemas.microsoft.com/office/spreadsheetml/2009/9/main" objectType="GBox" noThreeD="1"/>
</file>

<file path=xl/ctrlProps/ctrlProp108.xml><?xml version="1.0" encoding="utf-8"?>
<formControlPr xmlns="http://schemas.microsoft.com/office/spreadsheetml/2009/9/main" objectType="GBox" noThreeD="1"/>
</file>

<file path=xl/ctrlProps/ctrlProp109.xml><?xml version="1.0" encoding="utf-8"?>
<formControlPr xmlns="http://schemas.microsoft.com/office/spreadsheetml/2009/9/main" objectType="GBox" noThreeD="1"/>
</file>

<file path=xl/ctrlProps/ctrlProp110.xml><?xml version="1.0" encoding="utf-8"?>
<formControlPr xmlns="http://schemas.microsoft.com/office/spreadsheetml/2009/9/main" objectType="GBox" noThreeD="1"/>
</file>

<file path=xl/ctrlProps/ctrlProp111.xml><?xml version="1.0" encoding="utf-8"?>
<formControlPr xmlns="http://schemas.microsoft.com/office/spreadsheetml/2009/9/main" objectType="GBox" noThreeD="1"/>
</file>

<file path=xl/ctrlProps/ctrlProp112.xml><?xml version="1.0" encoding="utf-8"?>
<formControlPr xmlns="http://schemas.microsoft.com/office/spreadsheetml/2009/9/main" objectType="GBox" noThreeD="1"/>
</file>

<file path=xl/ctrlProps/ctrlProp113.xml><?xml version="1.0" encoding="utf-8"?>
<formControlPr xmlns="http://schemas.microsoft.com/office/spreadsheetml/2009/9/main" objectType="GBox" noThreeD="1"/>
</file>

<file path=xl/ctrlProps/ctrlProp114.xml><?xml version="1.0" encoding="utf-8"?>
<formControlPr xmlns="http://schemas.microsoft.com/office/spreadsheetml/2009/9/main" objectType="GBox" noThreeD="1"/>
</file>

<file path=xl/ctrlProps/ctrlProp115.xml><?xml version="1.0" encoding="utf-8"?>
<formControlPr xmlns="http://schemas.microsoft.com/office/spreadsheetml/2009/9/main" objectType="GBox" noThreeD="1"/>
</file>

<file path=xl/ctrlProps/ctrlProp116.xml><?xml version="1.0" encoding="utf-8"?>
<formControlPr xmlns="http://schemas.microsoft.com/office/spreadsheetml/2009/9/main" objectType="GBox" noThreeD="1"/>
</file>

<file path=xl/ctrlProps/ctrlProp117.xml><?xml version="1.0" encoding="utf-8"?>
<formControlPr xmlns="http://schemas.microsoft.com/office/spreadsheetml/2009/9/main" objectType="GBox" noThreeD="1"/>
</file>

<file path=xl/ctrlProps/ctrlProp118.xml><?xml version="1.0" encoding="utf-8"?>
<formControlPr xmlns="http://schemas.microsoft.com/office/spreadsheetml/2009/9/main" objectType="GBox" noThreeD="1"/>
</file>

<file path=xl/ctrlProps/ctrlProp119.xml><?xml version="1.0" encoding="utf-8"?>
<formControlPr xmlns="http://schemas.microsoft.com/office/spreadsheetml/2009/9/main" objectType="GBox" noThreeD="1"/>
</file>

<file path=xl/ctrlProps/ctrlProp120.xml><?xml version="1.0" encoding="utf-8"?>
<formControlPr xmlns="http://schemas.microsoft.com/office/spreadsheetml/2009/9/main" objectType="CheckBox" fmlaLink="Export!$D$141" noThreeD="1"/>
</file>

<file path=xl/ctrlProps/ctrlProp121.xml><?xml version="1.0" encoding="utf-8"?>
<formControlPr xmlns="http://schemas.microsoft.com/office/spreadsheetml/2009/9/main" objectType="CheckBox" fmlaLink="Export!$D$143" noThreeD="1"/>
</file>

<file path=xl/ctrlProps/ctrlProp122.xml><?xml version="1.0" encoding="utf-8"?>
<formControlPr xmlns="http://schemas.microsoft.com/office/spreadsheetml/2009/9/main" objectType="CheckBox" fmlaLink="Export!$D$144" noThreeD="1"/>
</file>

<file path=xl/ctrlProps/ctrlProp123.xml><?xml version="1.0" encoding="utf-8"?>
<formControlPr xmlns="http://schemas.microsoft.com/office/spreadsheetml/2009/9/main" objectType="CheckBox" fmlaLink="Export!$D$145" noThreeD="1"/>
</file>

<file path=xl/ctrlProps/ctrlProp124.xml><?xml version="1.0" encoding="utf-8"?>
<formControlPr xmlns="http://schemas.microsoft.com/office/spreadsheetml/2009/9/main" objectType="CheckBox" fmlaLink="Export!$D$146" noThreeD="1"/>
</file>

<file path=xl/ctrlProps/ctrlProp125.xml><?xml version="1.0" encoding="utf-8"?>
<formControlPr xmlns="http://schemas.microsoft.com/office/spreadsheetml/2009/9/main" objectType="CheckBox" fmlaLink="Export!$D$147" noThreeD="1"/>
</file>

<file path=xl/ctrlProps/ctrlProp126.xml><?xml version="1.0" encoding="utf-8"?>
<formControlPr xmlns="http://schemas.microsoft.com/office/spreadsheetml/2009/9/main" objectType="CheckBox" fmlaLink="Export!$D$148" noThreeD="1"/>
</file>

<file path=xl/ctrlProps/ctrlProp127.xml><?xml version="1.0" encoding="utf-8"?>
<formControlPr xmlns="http://schemas.microsoft.com/office/spreadsheetml/2009/9/main" objectType="CheckBox" fmlaLink="Export!$D$142" noThreeD="1"/>
</file>

<file path=xl/ctrlProps/ctrlProp128.xml><?xml version="1.0" encoding="utf-8"?>
<formControlPr xmlns="http://schemas.microsoft.com/office/spreadsheetml/2009/9/main" objectType="CheckBox" fmlaLink="Export!$D$149" noThreeD="1"/>
</file>

<file path=xl/ctrlProps/ctrlProp129.xml><?xml version="1.0" encoding="utf-8"?>
<formControlPr xmlns="http://schemas.microsoft.com/office/spreadsheetml/2009/9/main" objectType="CheckBox" fmlaLink="Export!$D$150" noThreeD="1"/>
</file>

<file path=xl/ctrlProps/ctrlProp130.xml><?xml version="1.0" encoding="utf-8"?>
<formControlPr xmlns="http://schemas.microsoft.com/office/spreadsheetml/2009/9/main" objectType="CheckBox" fmlaLink="Export!$D$174" noThreeD="1"/>
</file>

<file path=xl/ctrlProps/ctrlProp131.xml><?xml version="1.0" encoding="utf-8"?>
<formControlPr xmlns="http://schemas.microsoft.com/office/spreadsheetml/2009/9/main" objectType="CheckBox" fmlaLink="Export!$D$175" noThreeD="1"/>
</file>

<file path=xl/ctrlProps/ctrlProp132.xml><?xml version="1.0" encoding="utf-8"?>
<formControlPr xmlns="http://schemas.microsoft.com/office/spreadsheetml/2009/9/main" objectType="CheckBox" fmlaLink="Export!$D$176" noThreeD="1"/>
</file>

<file path=xl/ctrlProps/ctrlProp133.xml><?xml version="1.0" encoding="utf-8"?>
<formControlPr xmlns="http://schemas.microsoft.com/office/spreadsheetml/2009/9/main" objectType="CheckBox" fmlaLink="Export!$D$177" noThreeD="1"/>
</file>

<file path=xl/ctrlProps/ctrlProp134.xml><?xml version="1.0" encoding="utf-8"?>
<formControlPr xmlns="http://schemas.microsoft.com/office/spreadsheetml/2009/9/main" objectType="CheckBox" fmlaLink="Export!$D$183" noThreeD="1"/>
</file>

<file path=xl/ctrlProps/ctrlProp135.xml><?xml version="1.0" encoding="utf-8"?>
<formControlPr xmlns="http://schemas.microsoft.com/office/spreadsheetml/2009/9/main" objectType="CheckBox" fmlaLink="Export!$D$184" noThreeD="1"/>
</file>

<file path=xl/ctrlProps/ctrlProp136.xml><?xml version="1.0" encoding="utf-8"?>
<formControlPr xmlns="http://schemas.microsoft.com/office/spreadsheetml/2009/9/main" objectType="CheckBox" fmlaLink="Export!$D$185" noThreeD="1"/>
</file>

<file path=xl/ctrlProps/ctrlProp137.xml><?xml version="1.0" encoding="utf-8"?>
<formControlPr xmlns="http://schemas.microsoft.com/office/spreadsheetml/2009/9/main" objectType="CheckBox" fmlaLink="Export!$D$186" noThreeD="1"/>
</file>

<file path=xl/ctrlProps/ctrlProp138.xml><?xml version="1.0" encoding="utf-8"?>
<formControlPr xmlns="http://schemas.microsoft.com/office/spreadsheetml/2009/9/main" objectType="CheckBox" fmlaLink="Export!$D$187" noThreeD="1"/>
</file>

<file path=xl/ctrlProps/ctrlProp139.xml><?xml version="1.0" encoding="utf-8"?>
<formControlPr xmlns="http://schemas.microsoft.com/office/spreadsheetml/2009/9/main" objectType="CheckBox" fmlaLink="Export!$D$188" noThreeD="1"/>
</file>

<file path=xl/ctrlProps/ctrlProp140.xml><?xml version="1.0" encoding="utf-8"?>
<formControlPr xmlns="http://schemas.microsoft.com/office/spreadsheetml/2009/9/main" objectType="Radio" firstButton="1" fmlaLink="Export!$D$201" noThreeD="1"/>
</file>

<file path=xl/ctrlProps/ctrlProp141.xml><?xml version="1.0" encoding="utf-8"?>
<formControlPr xmlns="http://schemas.microsoft.com/office/spreadsheetml/2009/9/main" objectType="Radio" noThreeD="1"/>
</file>

<file path=xl/ctrlProps/ctrlProp142.xml><?xml version="1.0" encoding="utf-8"?>
<formControlPr xmlns="http://schemas.microsoft.com/office/spreadsheetml/2009/9/main" objectType="Radio" firstButton="1" fmlaLink="Export!$D$202" noThreeD="1"/>
</file>

<file path=xl/ctrlProps/ctrlProp143.xml><?xml version="1.0" encoding="utf-8"?>
<formControlPr xmlns="http://schemas.microsoft.com/office/spreadsheetml/2009/9/main" objectType="Radio" noThreeD="1"/>
</file>

<file path=xl/ctrlProps/ctrlProp144.xml><?xml version="1.0" encoding="utf-8"?>
<formControlPr xmlns="http://schemas.microsoft.com/office/spreadsheetml/2009/9/main" objectType="Radio" firstButton="1" fmlaLink="Export!$D$200" noThreeD="1"/>
</file>

<file path=xl/ctrlProps/ctrlProp145.xml><?xml version="1.0" encoding="utf-8"?>
<formControlPr xmlns="http://schemas.microsoft.com/office/spreadsheetml/2009/9/main" objectType="Radio" noThreeD="1"/>
</file>

<file path=xl/ctrlProps/ctrlProp146.xml><?xml version="1.0" encoding="utf-8"?>
<formControlPr xmlns="http://schemas.microsoft.com/office/spreadsheetml/2009/9/main" objectType="Radio" firstButton="1" fmlaLink="Export!$D$198" noThreeD="1"/>
</file>

<file path=xl/ctrlProps/ctrlProp147.xml><?xml version="1.0" encoding="utf-8"?>
<formControlPr xmlns="http://schemas.microsoft.com/office/spreadsheetml/2009/9/main" objectType="Radio" noThreeD="1"/>
</file>

<file path=xl/ctrlProps/ctrlProp148.xml><?xml version="1.0" encoding="utf-8"?>
<formControlPr xmlns="http://schemas.microsoft.com/office/spreadsheetml/2009/9/main" objectType="Radio" firstButton="1" fmlaLink="Export!$D$199" noThreeD="1"/>
</file>

<file path=xl/ctrlProps/ctrlProp149.xml><?xml version="1.0" encoding="utf-8"?>
<formControlPr xmlns="http://schemas.microsoft.com/office/spreadsheetml/2009/9/main" objectType="Radio" noThreeD="1"/>
</file>

<file path=xl/ctrlProps/ctrlProp150.xml><?xml version="1.0" encoding="utf-8"?>
<formControlPr xmlns="http://schemas.microsoft.com/office/spreadsheetml/2009/9/main" objectType="GBox" noThreeD="1"/>
</file>

<file path=xl/ctrlProps/ctrlProp151.xml><?xml version="1.0" encoding="utf-8"?>
<formControlPr xmlns="http://schemas.microsoft.com/office/spreadsheetml/2009/9/main" objectType="GBox" noThreeD="1"/>
</file>

<file path=xl/ctrlProps/ctrlProp152.xml><?xml version="1.0" encoding="utf-8"?>
<formControlPr xmlns="http://schemas.microsoft.com/office/spreadsheetml/2009/9/main" objectType="GBox" noThreeD="1"/>
</file>

<file path=xl/ctrlProps/ctrlProp153.xml><?xml version="1.0" encoding="utf-8"?>
<formControlPr xmlns="http://schemas.microsoft.com/office/spreadsheetml/2009/9/main" objectType="GBox" noThreeD="1"/>
</file>

<file path=xl/ctrlProps/ctrlProp154.xml><?xml version="1.0" encoding="utf-8"?>
<formControlPr xmlns="http://schemas.microsoft.com/office/spreadsheetml/2009/9/main" objectType="GBox" noThreeD="1"/>
</file>

<file path=xl/ctrlProps/ctrlProp155.xml><?xml version="1.0" encoding="utf-8"?>
<formControlPr xmlns="http://schemas.microsoft.com/office/spreadsheetml/2009/9/main" objectType="Radio" checked="Checked" firstButton="1" fmlaLink="Export!$D$226" noThreeD="1"/>
</file>

<file path=xl/ctrlProps/ctrlProp156.xml><?xml version="1.0" encoding="utf-8"?>
<formControlPr xmlns="http://schemas.microsoft.com/office/spreadsheetml/2009/9/main" objectType="Radio" noThreeD="1"/>
</file>

<file path=xl/ctrlProps/ctrlProp157.xml><?xml version="1.0" encoding="utf-8"?>
<formControlPr xmlns="http://schemas.microsoft.com/office/spreadsheetml/2009/9/main" objectType="Radio" firstButton="1" fmlaLink="Export!$D$227" noThreeD="1"/>
</file>

<file path=xl/ctrlProps/ctrlProp158.xml><?xml version="1.0" encoding="utf-8"?>
<formControlPr xmlns="http://schemas.microsoft.com/office/spreadsheetml/2009/9/main" objectType="Radio" noThreeD="1"/>
</file>

<file path=xl/ctrlProps/ctrlProp159.xml><?xml version="1.0" encoding="utf-8"?>
<formControlPr xmlns="http://schemas.microsoft.com/office/spreadsheetml/2009/9/main" objectType="Radio" firstButton="1" fmlaLink="Export!$D$229" noThreeD="1"/>
</file>

<file path=xl/ctrlProps/ctrlProp160.xml><?xml version="1.0" encoding="utf-8"?>
<formControlPr xmlns="http://schemas.microsoft.com/office/spreadsheetml/2009/9/main" objectType="Radio" noThreeD="1"/>
</file>

<file path=xl/ctrlProps/ctrlProp161.xml><?xml version="1.0" encoding="utf-8"?>
<formControlPr xmlns="http://schemas.microsoft.com/office/spreadsheetml/2009/9/main" objectType="Radio" firstButton="1" fmlaLink="Export!$D$233" noThreeD="1"/>
</file>

<file path=xl/ctrlProps/ctrlProp162.xml><?xml version="1.0" encoding="utf-8"?>
<formControlPr xmlns="http://schemas.microsoft.com/office/spreadsheetml/2009/9/main" objectType="Radio" noThreeD="1"/>
</file>

<file path=xl/ctrlProps/ctrlProp163.xml><?xml version="1.0" encoding="utf-8"?>
<formControlPr xmlns="http://schemas.microsoft.com/office/spreadsheetml/2009/9/main" objectType="Radio" firstButton="1" fmlaLink="Export!$D$234" noThreeD="1"/>
</file>

<file path=xl/ctrlProps/ctrlProp164.xml><?xml version="1.0" encoding="utf-8"?>
<formControlPr xmlns="http://schemas.microsoft.com/office/spreadsheetml/2009/9/main" objectType="Radio" noThreeD="1"/>
</file>

<file path=xl/ctrlProps/ctrlProp165.xml><?xml version="1.0" encoding="utf-8"?>
<formControlPr xmlns="http://schemas.microsoft.com/office/spreadsheetml/2009/9/main" objectType="CheckBox" fmlaLink="Export!$D$207" noThreeD="1"/>
</file>

<file path=xl/ctrlProps/ctrlProp166.xml><?xml version="1.0" encoding="utf-8"?>
<formControlPr xmlns="http://schemas.microsoft.com/office/spreadsheetml/2009/9/main" objectType="CheckBox" fmlaLink="Export!$D$206" noThreeD="1"/>
</file>

<file path=xl/ctrlProps/ctrlProp167.xml><?xml version="1.0" encoding="utf-8"?>
<formControlPr xmlns="http://schemas.microsoft.com/office/spreadsheetml/2009/9/main" objectType="GBox" noThreeD="1"/>
</file>

<file path=xl/ctrlProps/ctrlProp168.xml><?xml version="1.0" encoding="utf-8"?>
<formControlPr xmlns="http://schemas.microsoft.com/office/spreadsheetml/2009/9/main" objectType="GBox" noThreeD="1"/>
</file>

<file path=xl/ctrlProps/ctrlProp169.xml><?xml version="1.0" encoding="utf-8"?>
<formControlPr xmlns="http://schemas.microsoft.com/office/spreadsheetml/2009/9/main" objectType="GBox" noThreeD="1"/>
</file>

<file path=xl/ctrlProps/ctrlProp170.xml><?xml version="1.0" encoding="utf-8"?>
<formControlPr xmlns="http://schemas.microsoft.com/office/spreadsheetml/2009/9/main" objectType="GBox" noThreeD="1"/>
</file>

<file path=xl/ctrlProps/ctrlProp171.xml><?xml version="1.0" encoding="utf-8"?>
<formControlPr xmlns="http://schemas.microsoft.com/office/spreadsheetml/2009/9/main" objectType="GBox" noThreeD="1"/>
</file>

<file path=xl/ctrlProps/ctrlProp172.xml><?xml version="1.0" encoding="utf-8"?>
<formControlPr xmlns="http://schemas.microsoft.com/office/spreadsheetml/2009/9/main" objectType="Radio" firstButton="1" fmlaLink="Export!$D$218" noThreeD="1"/>
</file>

<file path=xl/ctrlProps/ctrlProp173.xml><?xml version="1.0" encoding="utf-8"?>
<formControlPr xmlns="http://schemas.microsoft.com/office/spreadsheetml/2009/9/main" objectType="Radio" noThreeD="1"/>
</file>

<file path=xl/ctrlProps/ctrlProp174.xml><?xml version="1.0" encoding="utf-8"?>
<formControlPr xmlns="http://schemas.microsoft.com/office/spreadsheetml/2009/9/main" objectType="GBox" noThreeD="1"/>
</file>

<file path=xl/ctrlProps/ctrlProp175.xml><?xml version="1.0" encoding="utf-8"?>
<formControlPr xmlns="http://schemas.microsoft.com/office/spreadsheetml/2009/9/main" objectType="Radio" firstButton="1" fmlaLink="Export!$D$242" noThreeD="1"/>
</file>

<file path=xl/ctrlProps/ctrlProp176.xml><?xml version="1.0" encoding="utf-8"?>
<formControlPr xmlns="http://schemas.microsoft.com/office/spreadsheetml/2009/9/main" objectType="Radio" noThreeD="1"/>
</file>

<file path=xl/ctrlProps/ctrlProp177.xml><?xml version="1.0" encoding="utf-8"?>
<formControlPr xmlns="http://schemas.microsoft.com/office/spreadsheetml/2009/9/main" objectType="Radio" firstButton="1" fmlaLink="Export!$D$243" noThreeD="1"/>
</file>

<file path=xl/ctrlProps/ctrlProp178.xml><?xml version="1.0" encoding="utf-8"?>
<formControlPr xmlns="http://schemas.microsoft.com/office/spreadsheetml/2009/9/main" objectType="Radio" noThreeD="1"/>
</file>

<file path=xl/ctrlProps/ctrlProp179.xml><?xml version="1.0" encoding="utf-8"?>
<formControlPr xmlns="http://schemas.microsoft.com/office/spreadsheetml/2009/9/main" objectType="Radio" firstButton="1" fmlaLink="Export!$D$244" noThreeD="1"/>
</file>

<file path=xl/ctrlProps/ctrlProp180.xml><?xml version="1.0" encoding="utf-8"?>
<formControlPr xmlns="http://schemas.microsoft.com/office/spreadsheetml/2009/9/main" objectType="Radio" noThreeD="1"/>
</file>

<file path=xl/ctrlProps/ctrlProp181.xml><?xml version="1.0" encoding="utf-8"?>
<formControlPr xmlns="http://schemas.microsoft.com/office/spreadsheetml/2009/9/main" objectType="Radio" firstButton="1" fmlaLink="Export!$D$246" noThreeD="1"/>
</file>

<file path=xl/ctrlProps/ctrlProp182.xml><?xml version="1.0" encoding="utf-8"?>
<formControlPr xmlns="http://schemas.microsoft.com/office/spreadsheetml/2009/9/main" objectType="Radio" noThreeD="1"/>
</file>

<file path=xl/ctrlProps/ctrlProp183.xml><?xml version="1.0" encoding="utf-8"?>
<formControlPr xmlns="http://schemas.microsoft.com/office/spreadsheetml/2009/9/main" objectType="Radio" firstButton="1" fmlaLink="Export!$D$247" noThreeD="1"/>
</file>

<file path=xl/ctrlProps/ctrlProp184.xml><?xml version="1.0" encoding="utf-8"?>
<formControlPr xmlns="http://schemas.microsoft.com/office/spreadsheetml/2009/9/main" objectType="Radio" noThreeD="1"/>
</file>

<file path=xl/ctrlProps/ctrlProp185.xml><?xml version="1.0" encoding="utf-8"?>
<formControlPr xmlns="http://schemas.microsoft.com/office/spreadsheetml/2009/9/main" objectType="Radio" firstButton="1" fmlaLink="Export!$D$248" noThreeD="1"/>
</file>

<file path=xl/ctrlProps/ctrlProp186.xml><?xml version="1.0" encoding="utf-8"?>
<formControlPr xmlns="http://schemas.microsoft.com/office/spreadsheetml/2009/9/main" objectType="Radio" noThreeD="1"/>
</file>

<file path=xl/ctrlProps/ctrlProp187.xml><?xml version="1.0" encoding="utf-8"?>
<formControlPr xmlns="http://schemas.microsoft.com/office/spreadsheetml/2009/9/main" objectType="Radio" firstButton="1" fmlaLink="Export!$D$249" noThreeD="1"/>
</file>

<file path=xl/ctrlProps/ctrlProp188.xml><?xml version="1.0" encoding="utf-8"?>
<formControlPr xmlns="http://schemas.microsoft.com/office/spreadsheetml/2009/9/main" objectType="Radio" noThreeD="1"/>
</file>

<file path=xl/ctrlProps/ctrlProp189.xml><?xml version="1.0" encoding="utf-8"?>
<formControlPr xmlns="http://schemas.microsoft.com/office/spreadsheetml/2009/9/main" objectType="Radio" firstButton="1" fmlaLink="Export!$D$250" noThreeD="1"/>
</file>

<file path=xl/ctrlProps/ctrlProp190.xml><?xml version="1.0" encoding="utf-8"?>
<formControlPr xmlns="http://schemas.microsoft.com/office/spreadsheetml/2009/9/main" objectType="Radio" noThreeD="1"/>
</file>

<file path=xl/ctrlProps/ctrlProp191.xml><?xml version="1.0" encoding="utf-8"?>
<formControlPr xmlns="http://schemas.microsoft.com/office/spreadsheetml/2009/9/main" objectType="Radio" firstButton="1" fmlaLink="Export!$D$251" noThreeD="1"/>
</file>

<file path=xl/ctrlProps/ctrlProp192.xml><?xml version="1.0" encoding="utf-8"?>
<formControlPr xmlns="http://schemas.microsoft.com/office/spreadsheetml/2009/9/main" objectType="Radio" noThreeD="1"/>
</file>

<file path=xl/ctrlProps/ctrlProp193.xml><?xml version="1.0" encoding="utf-8"?>
<formControlPr xmlns="http://schemas.microsoft.com/office/spreadsheetml/2009/9/main" objectType="Radio" firstButton="1" fmlaLink="Export!$D$252" noThreeD="1"/>
</file>

<file path=xl/ctrlProps/ctrlProp194.xml><?xml version="1.0" encoding="utf-8"?>
<formControlPr xmlns="http://schemas.microsoft.com/office/spreadsheetml/2009/9/main" objectType="Radio" noThreeD="1"/>
</file>

<file path=xl/ctrlProps/ctrlProp195.xml><?xml version="1.0" encoding="utf-8"?>
<formControlPr xmlns="http://schemas.microsoft.com/office/spreadsheetml/2009/9/main" objectType="Radio" firstButton="1" fmlaLink="Export!$D$253" noThreeD="1"/>
</file>

<file path=xl/ctrlProps/ctrlProp196.xml><?xml version="1.0" encoding="utf-8"?>
<formControlPr xmlns="http://schemas.microsoft.com/office/spreadsheetml/2009/9/main" objectType="Radio" noThreeD="1"/>
</file>

<file path=xl/ctrlProps/ctrlProp197.xml><?xml version="1.0" encoding="utf-8"?>
<formControlPr xmlns="http://schemas.microsoft.com/office/spreadsheetml/2009/9/main" objectType="Radio" firstButton="1" fmlaLink="Export!$D$254" noThreeD="1"/>
</file>

<file path=xl/ctrlProps/ctrlProp198.xml><?xml version="1.0" encoding="utf-8"?>
<formControlPr xmlns="http://schemas.microsoft.com/office/spreadsheetml/2009/9/main" objectType="Radio" noThreeD="1"/>
</file>

<file path=xl/ctrlProps/ctrlProp199.xml><?xml version="1.0" encoding="utf-8"?>
<formControlPr xmlns="http://schemas.microsoft.com/office/spreadsheetml/2009/9/main" objectType="GBox" noThreeD="1"/>
</file>

<file path=xl/ctrlProps/ctrlProp200.xml><?xml version="1.0" encoding="utf-8"?>
<formControlPr xmlns="http://schemas.microsoft.com/office/spreadsheetml/2009/9/main" objectType="GBox" noThreeD="1"/>
</file>

<file path=xl/ctrlProps/ctrlProp201.xml><?xml version="1.0" encoding="utf-8"?>
<formControlPr xmlns="http://schemas.microsoft.com/office/spreadsheetml/2009/9/main" objectType="GBox" noThreeD="1"/>
</file>

<file path=xl/ctrlProps/ctrlProp202.xml><?xml version="1.0" encoding="utf-8"?>
<formControlPr xmlns="http://schemas.microsoft.com/office/spreadsheetml/2009/9/main" objectType="GBox" noThreeD="1"/>
</file>

<file path=xl/ctrlProps/ctrlProp203.xml><?xml version="1.0" encoding="utf-8"?>
<formControlPr xmlns="http://schemas.microsoft.com/office/spreadsheetml/2009/9/main" objectType="GBox" noThreeD="1"/>
</file>

<file path=xl/ctrlProps/ctrlProp204.xml><?xml version="1.0" encoding="utf-8"?>
<formControlPr xmlns="http://schemas.microsoft.com/office/spreadsheetml/2009/9/main" objectType="GBox" noThreeD="1"/>
</file>

<file path=xl/ctrlProps/ctrlProp205.xml><?xml version="1.0" encoding="utf-8"?>
<formControlPr xmlns="http://schemas.microsoft.com/office/spreadsheetml/2009/9/main" objectType="GBox" noThreeD="1"/>
</file>

<file path=xl/ctrlProps/ctrlProp206.xml><?xml version="1.0" encoding="utf-8"?>
<formControlPr xmlns="http://schemas.microsoft.com/office/spreadsheetml/2009/9/main" objectType="GBox" noThreeD="1"/>
</file>

<file path=xl/ctrlProps/ctrlProp207.xml><?xml version="1.0" encoding="utf-8"?>
<formControlPr xmlns="http://schemas.microsoft.com/office/spreadsheetml/2009/9/main" objectType="GBox" noThreeD="1"/>
</file>

<file path=xl/ctrlProps/ctrlProp208.xml><?xml version="1.0" encoding="utf-8"?>
<formControlPr xmlns="http://schemas.microsoft.com/office/spreadsheetml/2009/9/main" objectType="GBox" noThreeD="1"/>
</file>

<file path=xl/ctrlProps/ctrlProp209.xml><?xml version="1.0" encoding="utf-8"?>
<formControlPr xmlns="http://schemas.microsoft.com/office/spreadsheetml/2009/9/main" objectType="GBox" noThreeD="1"/>
</file>

<file path=xl/ctrlProps/ctrlProp210.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57150</xdr:colOff>
          <xdr:row>39</xdr:row>
          <xdr:rowOff>28575</xdr:rowOff>
        </xdr:from>
        <xdr:to>
          <xdr:col>6</xdr:col>
          <xdr:colOff>419100</xdr:colOff>
          <xdr:row>39</xdr:row>
          <xdr:rowOff>171450</xdr:rowOff>
        </xdr:to>
        <xdr:sp macro="" textlink="">
          <xdr:nvSpPr>
            <xdr:cNvPr id="28673" name="Option Button 1" hidden="1">
              <a:extLst>
                <a:ext uri="{63B3BB69-23CF-44E3-9099-C40C66FF867C}">
                  <a14:compatExt spid="_x0000_s28673"/>
                </a:ext>
                <a:ext uri="{FF2B5EF4-FFF2-40B4-BE49-F238E27FC236}">
                  <a16:creationId xmlns:a16="http://schemas.microsoft.com/office/drawing/2014/main" id="{00000000-0008-0000-0000-00000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Полная восстановительная в соответствии с отчетом об оценке стоимости имущества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39</xdr:row>
          <xdr:rowOff>219075</xdr:rowOff>
        </xdr:from>
        <xdr:to>
          <xdr:col>6</xdr:col>
          <xdr:colOff>19050</xdr:colOff>
          <xdr:row>39</xdr:row>
          <xdr:rowOff>352425</xdr:rowOff>
        </xdr:to>
        <xdr:sp macro="" textlink="">
          <xdr:nvSpPr>
            <xdr:cNvPr id="28674" name="Option Button 2" hidden="1">
              <a:extLst>
                <a:ext uri="{63B3BB69-23CF-44E3-9099-C40C66FF867C}">
                  <a14:compatExt spid="_x0000_s28674"/>
                </a:ext>
                <a:ext uri="{FF2B5EF4-FFF2-40B4-BE49-F238E27FC236}">
                  <a16:creationId xmlns:a16="http://schemas.microsoft.com/office/drawing/2014/main" id="{00000000-0008-0000-0000-00000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Рыночная в соответствии с отчетом об оценке стоимости имущества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39</xdr:row>
          <xdr:rowOff>390525</xdr:rowOff>
        </xdr:from>
        <xdr:to>
          <xdr:col>4</xdr:col>
          <xdr:colOff>95250</xdr:colOff>
          <xdr:row>39</xdr:row>
          <xdr:rowOff>552450</xdr:rowOff>
        </xdr:to>
        <xdr:sp macro="" textlink="">
          <xdr:nvSpPr>
            <xdr:cNvPr id="28675" name="Option Button 3" hidden="1">
              <a:extLst>
                <a:ext uri="{63B3BB69-23CF-44E3-9099-C40C66FF867C}">
                  <a14:compatExt spid="_x0000_s28675"/>
                </a:ext>
                <a:ext uri="{FF2B5EF4-FFF2-40B4-BE49-F238E27FC236}">
                  <a16:creationId xmlns:a16="http://schemas.microsoft.com/office/drawing/2014/main" id="{00000000-0008-0000-0000-00000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Первоначальная балансовая стоимость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39</xdr:row>
          <xdr:rowOff>571500</xdr:rowOff>
        </xdr:from>
        <xdr:to>
          <xdr:col>3</xdr:col>
          <xdr:colOff>600075</xdr:colOff>
          <xdr:row>39</xdr:row>
          <xdr:rowOff>752475</xdr:rowOff>
        </xdr:to>
        <xdr:sp macro="" textlink="">
          <xdr:nvSpPr>
            <xdr:cNvPr id="28676" name="Option Button 4" hidden="1">
              <a:extLst>
                <a:ext uri="{63B3BB69-23CF-44E3-9099-C40C66FF867C}">
                  <a14:compatExt spid="_x0000_s28676"/>
                </a:ext>
                <a:ext uri="{FF2B5EF4-FFF2-40B4-BE49-F238E27FC236}">
                  <a16:creationId xmlns:a16="http://schemas.microsoft.com/office/drawing/2014/main" id="{00000000-0008-0000-0000-00000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Остаточная балансовая стоимость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37</xdr:row>
          <xdr:rowOff>28575</xdr:rowOff>
        </xdr:from>
        <xdr:to>
          <xdr:col>1</xdr:col>
          <xdr:colOff>647700</xdr:colOff>
          <xdr:row>37</xdr:row>
          <xdr:rowOff>161925</xdr:rowOff>
        </xdr:to>
        <xdr:sp macro="" textlink="">
          <xdr:nvSpPr>
            <xdr:cNvPr id="28677" name="Option Button 5" hidden="1">
              <a:extLst>
                <a:ext uri="{63B3BB69-23CF-44E3-9099-C40C66FF867C}">
                  <a14:compatExt spid="_x0000_s28677"/>
                </a:ext>
                <a:ext uri="{FF2B5EF4-FFF2-40B4-BE49-F238E27FC236}">
                  <a16:creationId xmlns:a16="http://schemas.microsoft.com/office/drawing/2014/main" id="{00000000-0008-0000-0000-00000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Рубли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104775</xdr:colOff>
          <xdr:row>37</xdr:row>
          <xdr:rowOff>38100</xdr:rowOff>
        </xdr:from>
        <xdr:to>
          <xdr:col>2</xdr:col>
          <xdr:colOff>619125</xdr:colOff>
          <xdr:row>37</xdr:row>
          <xdr:rowOff>161925</xdr:rowOff>
        </xdr:to>
        <xdr:sp macro="" textlink="">
          <xdr:nvSpPr>
            <xdr:cNvPr id="28678" name="Option Button 6" hidden="1">
              <a:extLst>
                <a:ext uri="{63B3BB69-23CF-44E3-9099-C40C66FF867C}">
                  <a14:compatExt spid="_x0000_s28678"/>
                </a:ext>
                <a:ext uri="{FF2B5EF4-FFF2-40B4-BE49-F238E27FC236}">
                  <a16:creationId xmlns:a16="http://schemas.microsoft.com/office/drawing/2014/main" id="{00000000-0008-0000-0000-00000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Евро</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37</xdr:row>
          <xdr:rowOff>28575</xdr:rowOff>
        </xdr:from>
        <xdr:to>
          <xdr:col>4</xdr:col>
          <xdr:colOff>257175</xdr:colOff>
          <xdr:row>37</xdr:row>
          <xdr:rowOff>161925</xdr:rowOff>
        </xdr:to>
        <xdr:sp macro="" textlink="">
          <xdr:nvSpPr>
            <xdr:cNvPr id="28679" name="Option Button 7" hidden="1">
              <a:extLst>
                <a:ext uri="{63B3BB69-23CF-44E3-9099-C40C66FF867C}">
                  <a14:compatExt spid="_x0000_s28679"/>
                </a:ext>
                <a:ext uri="{FF2B5EF4-FFF2-40B4-BE49-F238E27FC236}">
                  <a16:creationId xmlns:a16="http://schemas.microsoft.com/office/drawing/2014/main" id="{00000000-0008-0000-0000-00000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Доллары США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37</xdr:row>
          <xdr:rowOff>28575</xdr:rowOff>
        </xdr:from>
        <xdr:to>
          <xdr:col>5</xdr:col>
          <xdr:colOff>619125</xdr:colOff>
          <xdr:row>37</xdr:row>
          <xdr:rowOff>171450</xdr:rowOff>
        </xdr:to>
        <xdr:sp macro="" textlink="">
          <xdr:nvSpPr>
            <xdr:cNvPr id="28680" name="Option Button 8" hidden="1">
              <a:extLst>
                <a:ext uri="{63B3BB69-23CF-44E3-9099-C40C66FF867C}">
                  <a14:compatExt spid="_x0000_s28680"/>
                </a:ext>
                <a:ext uri="{FF2B5EF4-FFF2-40B4-BE49-F238E27FC236}">
                  <a16:creationId xmlns:a16="http://schemas.microsoft.com/office/drawing/2014/main" id="{00000000-0008-0000-0000-00000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Иная (укажите):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75</xdr:row>
          <xdr:rowOff>28575</xdr:rowOff>
        </xdr:from>
        <xdr:to>
          <xdr:col>6</xdr:col>
          <xdr:colOff>228600</xdr:colOff>
          <xdr:row>75</xdr:row>
          <xdr:rowOff>171450</xdr:rowOff>
        </xdr:to>
        <xdr:sp macro="" textlink="">
          <xdr:nvSpPr>
            <xdr:cNvPr id="28682" name="Check Box 10" hidden="1">
              <a:extLst>
                <a:ext uri="{63B3BB69-23CF-44E3-9099-C40C66FF867C}">
                  <a14:compatExt spid="_x0000_s28682"/>
                </a:ext>
                <a:ext uri="{FF2B5EF4-FFF2-40B4-BE49-F238E27FC236}">
                  <a16:creationId xmlns:a16="http://schemas.microsoft.com/office/drawing/2014/main" id="{00000000-0008-0000-0000-00000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Народные волнения, массовые беспорядки, забастовки (локауты)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76</xdr:row>
          <xdr:rowOff>28575</xdr:rowOff>
        </xdr:from>
        <xdr:to>
          <xdr:col>5</xdr:col>
          <xdr:colOff>419100</xdr:colOff>
          <xdr:row>76</xdr:row>
          <xdr:rowOff>161925</xdr:rowOff>
        </xdr:to>
        <xdr:sp macro="" textlink="">
          <xdr:nvSpPr>
            <xdr:cNvPr id="28683" name="Check Box 11" hidden="1">
              <a:extLst>
                <a:ext uri="{63B3BB69-23CF-44E3-9099-C40C66FF867C}">
                  <a14:compatExt spid="_x0000_s28683"/>
                </a:ext>
                <a:ext uri="{FF2B5EF4-FFF2-40B4-BE49-F238E27FC236}">
                  <a16:creationId xmlns:a16="http://schemas.microsoft.com/office/drawing/2014/main" id="{00000000-0008-0000-0000-00000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Террористический акт (ст. 205 УК РФ), диверсия (ст. 281 УК РФ)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28575</xdr:rowOff>
        </xdr:from>
        <xdr:to>
          <xdr:col>8</xdr:col>
          <xdr:colOff>447675</xdr:colOff>
          <xdr:row>82</xdr:row>
          <xdr:rowOff>171450</xdr:rowOff>
        </xdr:to>
        <xdr:sp macro="" textlink="">
          <xdr:nvSpPr>
            <xdr:cNvPr id="28684" name="Option Button 12" hidden="1">
              <a:extLst>
                <a:ext uri="{63B3BB69-23CF-44E3-9099-C40C66FF867C}">
                  <a14:compatExt spid="_x0000_s28684"/>
                </a:ext>
                <a:ext uri="{FF2B5EF4-FFF2-40B4-BE49-F238E27FC236}">
                  <a16:creationId xmlns:a16="http://schemas.microsoft.com/office/drawing/2014/main" id="{00000000-0008-0000-0000-00000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Отдельностоящее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82</xdr:row>
          <xdr:rowOff>28575</xdr:rowOff>
        </xdr:from>
        <xdr:to>
          <xdr:col>10</xdr:col>
          <xdr:colOff>295275</xdr:colOff>
          <xdr:row>82</xdr:row>
          <xdr:rowOff>161925</xdr:rowOff>
        </xdr:to>
        <xdr:sp macro="" textlink="">
          <xdr:nvSpPr>
            <xdr:cNvPr id="28685" name="Option Button 13" hidden="1">
              <a:extLst>
                <a:ext uri="{63B3BB69-23CF-44E3-9099-C40C66FF867C}">
                  <a14:compatExt spid="_x0000_s28685"/>
                </a:ext>
                <a:ext uri="{FF2B5EF4-FFF2-40B4-BE49-F238E27FC236}">
                  <a16:creationId xmlns:a16="http://schemas.microsoft.com/office/drawing/2014/main" id="{00000000-0008-0000-0000-00000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Примыкающее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84</xdr:row>
          <xdr:rowOff>85725</xdr:rowOff>
        </xdr:from>
        <xdr:to>
          <xdr:col>2</xdr:col>
          <xdr:colOff>180975</xdr:colOff>
          <xdr:row>84</xdr:row>
          <xdr:rowOff>247650</xdr:rowOff>
        </xdr:to>
        <xdr:sp macro="" textlink="">
          <xdr:nvSpPr>
            <xdr:cNvPr id="28687" name="Option Button 15" hidden="1">
              <a:extLst>
                <a:ext uri="{63B3BB69-23CF-44E3-9099-C40C66FF867C}">
                  <a14:compatExt spid="_x0000_s28687"/>
                </a:ext>
                <a:ext uri="{FF2B5EF4-FFF2-40B4-BE49-F238E27FC236}">
                  <a16:creationId xmlns:a16="http://schemas.microsoft.com/office/drawing/2014/main" id="{00000000-0008-0000-0000-00000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Окончены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84</xdr:row>
          <xdr:rowOff>285750</xdr:rowOff>
        </xdr:from>
        <xdr:to>
          <xdr:col>2</xdr:col>
          <xdr:colOff>76200</xdr:colOff>
          <xdr:row>84</xdr:row>
          <xdr:rowOff>447675</xdr:rowOff>
        </xdr:to>
        <xdr:sp macro="" textlink="">
          <xdr:nvSpPr>
            <xdr:cNvPr id="28688" name="Option Button 16" hidden="1">
              <a:extLst>
                <a:ext uri="{63B3BB69-23CF-44E3-9099-C40C66FF867C}">
                  <a14:compatExt spid="_x0000_s28688"/>
                </a:ext>
                <a:ext uri="{FF2B5EF4-FFF2-40B4-BE49-F238E27FC236}">
                  <a16:creationId xmlns:a16="http://schemas.microsoft.com/office/drawing/2014/main" id="{00000000-0008-0000-0000-00001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Ведутся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86</xdr:row>
          <xdr:rowOff>104775</xdr:rowOff>
        </xdr:from>
        <xdr:to>
          <xdr:col>2</xdr:col>
          <xdr:colOff>409575</xdr:colOff>
          <xdr:row>86</xdr:row>
          <xdr:rowOff>247650</xdr:rowOff>
        </xdr:to>
        <xdr:sp macro="" textlink="">
          <xdr:nvSpPr>
            <xdr:cNvPr id="28690" name="Option Button 18" descr="Не применяются" hidden="1">
              <a:extLst>
                <a:ext uri="{63B3BB69-23CF-44E3-9099-C40C66FF867C}">
                  <a14:compatExt spid="_x0000_s28690"/>
                </a:ext>
                <a:ext uri="{FF2B5EF4-FFF2-40B4-BE49-F238E27FC236}">
                  <a16:creationId xmlns:a16="http://schemas.microsoft.com/office/drawing/2014/main" id="{00000000-0008-0000-0000-00001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 применяются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86</xdr:row>
          <xdr:rowOff>304800</xdr:rowOff>
        </xdr:from>
        <xdr:to>
          <xdr:col>2</xdr:col>
          <xdr:colOff>314325</xdr:colOff>
          <xdr:row>86</xdr:row>
          <xdr:rowOff>438150</xdr:rowOff>
        </xdr:to>
        <xdr:sp macro="" textlink="">
          <xdr:nvSpPr>
            <xdr:cNvPr id="28691" name="Option Button 19" descr="Не применяются" hidden="1">
              <a:extLst>
                <a:ext uri="{63B3BB69-23CF-44E3-9099-C40C66FF867C}">
                  <a14:compatExt spid="_x0000_s28691"/>
                </a:ext>
                <a:ext uri="{FF2B5EF4-FFF2-40B4-BE49-F238E27FC236}">
                  <a16:creationId xmlns:a16="http://schemas.microsoft.com/office/drawing/2014/main" id="{00000000-0008-0000-0000-00001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Применяются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19050</xdr:rowOff>
        </xdr:from>
        <xdr:to>
          <xdr:col>8</xdr:col>
          <xdr:colOff>371475</xdr:colOff>
          <xdr:row>87</xdr:row>
          <xdr:rowOff>161925</xdr:rowOff>
        </xdr:to>
        <xdr:sp macro="" textlink="">
          <xdr:nvSpPr>
            <xdr:cNvPr id="28692" name="Option Button 20" hidden="1">
              <a:extLst>
                <a:ext uri="{63B3BB69-23CF-44E3-9099-C40C66FF867C}">
                  <a14:compatExt spid="_x0000_s28692"/>
                </a:ext>
                <a:ext uri="{FF2B5EF4-FFF2-40B4-BE49-F238E27FC236}">
                  <a16:creationId xmlns:a16="http://schemas.microsoft.com/office/drawing/2014/main" id="{00000000-0008-0000-0000-00001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Есть баня / сауна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87</xdr:row>
          <xdr:rowOff>28575</xdr:rowOff>
        </xdr:from>
        <xdr:to>
          <xdr:col>10</xdr:col>
          <xdr:colOff>542925</xdr:colOff>
          <xdr:row>87</xdr:row>
          <xdr:rowOff>171450</xdr:rowOff>
        </xdr:to>
        <xdr:sp macro="" textlink="">
          <xdr:nvSpPr>
            <xdr:cNvPr id="28693" name="Option Button 21" hidden="1">
              <a:extLst>
                <a:ext uri="{63B3BB69-23CF-44E3-9099-C40C66FF867C}">
                  <a14:compatExt spid="_x0000_s28693"/>
                </a:ext>
                <a:ext uri="{FF2B5EF4-FFF2-40B4-BE49-F238E27FC236}">
                  <a16:creationId xmlns:a16="http://schemas.microsoft.com/office/drawing/2014/main" id="{00000000-0008-0000-0000-00001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 бани / сауны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89</xdr:row>
          <xdr:rowOff>28575</xdr:rowOff>
        </xdr:from>
        <xdr:to>
          <xdr:col>4</xdr:col>
          <xdr:colOff>171450</xdr:colOff>
          <xdr:row>89</xdr:row>
          <xdr:rowOff>171450</xdr:rowOff>
        </xdr:to>
        <xdr:sp macro="" textlink="">
          <xdr:nvSpPr>
            <xdr:cNvPr id="28695" name="Option Button 23" hidden="1">
              <a:extLst>
                <a:ext uri="{63B3BB69-23CF-44E3-9099-C40C66FF867C}">
                  <a14:compatExt spid="_x0000_s28695"/>
                </a:ext>
                <a:ext uri="{FF2B5EF4-FFF2-40B4-BE49-F238E27FC236}">
                  <a16:creationId xmlns:a16="http://schemas.microsoft.com/office/drawing/2014/main" id="{00000000-0008-0000-0000-00001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Деревянные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89</xdr:row>
          <xdr:rowOff>28575</xdr:rowOff>
        </xdr:from>
        <xdr:to>
          <xdr:col>5</xdr:col>
          <xdr:colOff>352425</xdr:colOff>
          <xdr:row>89</xdr:row>
          <xdr:rowOff>171450</xdr:rowOff>
        </xdr:to>
        <xdr:sp macro="" textlink="">
          <xdr:nvSpPr>
            <xdr:cNvPr id="28696" name="Option Button 24" hidden="1">
              <a:extLst>
                <a:ext uri="{63B3BB69-23CF-44E3-9099-C40C66FF867C}">
                  <a14:compatExt spid="_x0000_s28696"/>
                </a:ext>
                <a:ext uri="{FF2B5EF4-FFF2-40B4-BE49-F238E27FC236}">
                  <a16:creationId xmlns:a16="http://schemas.microsoft.com/office/drawing/2014/main" id="{00000000-0008-0000-0000-00001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Кирпичные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485775</xdr:colOff>
          <xdr:row>89</xdr:row>
          <xdr:rowOff>19050</xdr:rowOff>
        </xdr:from>
        <xdr:to>
          <xdr:col>7</xdr:col>
          <xdr:colOff>133350</xdr:colOff>
          <xdr:row>89</xdr:row>
          <xdr:rowOff>161925</xdr:rowOff>
        </xdr:to>
        <xdr:sp macro="" textlink="">
          <xdr:nvSpPr>
            <xdr:cNvPr id="28697" name="Option Button 25" hidden="1">
              <a:extLst>
                <a:ext uri="{63B3BB69-23CF-44E3-9099-C40C66FF867C}">
                  <a14:compatExt spid="_x0000_s28697"/>
                </a:ext>
                <a:ext uri="{FF2B5EF4-FFF2-40B4-BE49-F238E27FC236}">
                  <a16:creationId xmlns:a16="http://schemas.microsoft.com/office/drawing/2014/main" id="{00000000-0008-0000-0000-00001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Металлические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352425</xdr:colOff>
          <xdr:row>89</xdr:row>
          <xdr:rowOff>28575</xdr:rowOff>
        </xdr:from>
        <xdr:to>
          <xdr:col>9</xdr:col>
          <xdr:colOff>333375</xdr:colOff>
          <xdr:row>89</xdr:row>
          <xdr:rowOff>171450</xdr:rowOff>
        </xdr:to>
        <xdr:sp macro="" textlink="">
          <xdr:nvSpPr>
            <xdr:cNvPr id="28698" name="Option Button 26" hidden="1">
              <a:extLst>
                <a:ext uri="{63B3BB69-23CF-44E3-9099-C40C66FF867C}">
                  <a14:compatExt spid="_x0000_s28698"/>
                </a:ext>
                <a:ext uri="{FF2B5EF4-FFF2-40B4-BE49-F238E27FC236}">
                  <a16:creationId xmlns:a16="http://schemas.microsoft.com/office/drawing/2014/main" id="{00000000-0008-0000-0000-00001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Железобетонные плиты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552450</xdr:colOff>
          <xdr:row>89</xdr:row>
          <xdr:rowOff>28575</xdr:rowOff>
        </xdr:from>
        <xdr:to>
          <xdr:col>10</xdr:col>
          <xdr:colOff>638175</xdr:colOff>
          <xdr:row>89</xdr:row>
          <xdr:rowOff>171450</xdr:rowOff>
        </xdr:to>
        <xdr:sp macro="" textlink="">
          <xdr:nvSpPr>
            <xdr:cNvPr id="28699" name="Option Button 27" hidden="1">
              <a:extLst>
                <a:ext uri="{63B3BB69-23CF-44E3-9099-C40C66FF867C}">
                  <a14:compatExt spid="_x0000_s28699"/>
                </a:ext>
                <a:ext uri="{FF2B5EF4-FFF2-40B4-BE49-F238E27FC236}">
                  <a16:creationId xmlns:a16="http://schemas.microsoft.com/office/drawing/2014/main" id="{00000000-0008-0000-0000-00001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Пеноблоки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90</xdr:row>
          <xdr:rowOff>19050</xdr:rowOff>
        </xdr:from>
        <xdr:to>
          <xdr:col>4</xdr:col>
          <xdr:colOff>266700</xdr:colOff>
          <xdr:row>90</xdr:row>
          <xdr:rowOff>161925</xdr:rowOff>
        </xdr:to>
        <xdr:sp macro="" textlink="">
          <xdr:nvSpPr>
            <xdr:cNvPr id="28700" name="Option Button 28" hidden="1">
              <a:extLst>
                <a:ext uri="{63B3BB69-23CF-44E3-9099-C40C66FF867C}">
                  <a14:compatExt spid="_x0000_s28700"/>
                </a:ext>
                <a:ext uri="{FF2B5EF4-FFF2-40B4-BE49-F238E27FC236}">
                  <a16:creationId xmlns:a16="http://schemas.microsoft.com/office/drawing/2014/main" id="{00000000-0008-0000-0000-00001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Иное (укажите):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93</xdr:row>
          <xdr:rowOff>38100</xdr:rowOff>
        </xdr:from>
        <xdr:to>
          <xdr:col>3</xdr:col>
          <xdr:colOff>657225</xdr:colOff>
          <xdr:row>93</xdr:row>
          <xdr:rowOff>180975</xdr:rowOff>
        </xdr:to>
        <xdr:sp macro="" textlink="">
          <xdr:nvSpPr>
            <xdr:cNvPr id="28702" name="Option Button 30" hidden="1">
              <a:extLst>
                <a:ext uri="{63B3BB69-23CF-44E3-9099-C40C66FF867C}">
                  <a14:compatExt spid="_x0000_s28702"/>
                </a:ext>
                <a:ext uri="{FF2B5EF4-FFF2-40B4-BE49-F238E27FC236}">
                  <a16:creationId xmlns:a16="http://schemas.microsoft.com/office/drawing/2014/main" id="{00000000-0008-0000-0000-00001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Шифер</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93</xdr:row>
          <xdr:rowOff>28575</xdr:rowOff>
        </xdr:from>
        <xdr:to>
          <xdr:col>6</xdr:col>
          <xdr:colOff>152400</xdr:colOff>
          <xdr:row>93</xdr:row>
          <xdr:rowOff>171450</xdr:rowOff>
        </xdr:to>
        <xdr:sp macro="" textlink="">
          <xdr:nvSpPr>
            <xdr:cNvPr id="28703" name="Option Button 31" hidden="1">
              <a:extLst>
                <a:ext uri="{63B3BB69-23CF-44E3-9099-C40C66FF867C}">
                  <a14:compatExt spid="_x0000_s28703"/>
                </a:ext>
                <a:ext uri="{FF2B5EF4-FFF2-40B4-BE49-F238E27FC236}">
                  <a16:creationId xmlns:a16="http://schemas.microsoft.com/office/drawing/2014/main" id="{00000000-0008-0000-0000-00001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 Металло-черепица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371475</xdr:colOff>
          <xdr:row>93</xdr:row>
          <xdr:rowOff>19050</xdr:rowOff>
        </xdr:from>
        <xdr:to>
          <xdr:col>8</xdr:col>
          <xdr:colOff>142875</xdr:colOff>
          <xdr:row>93</xdr:row>
          <xdr:rowOff>171450</xdr:rowOff>
        </xdr:to>
        <xdr:sp macro="" textlink="">
          <xdr:nvSpPr>
            <xdr:cNvPr id="28704" name="Option Button 32" hidden="1">
              <a:extLst>
                <a:ext uri="{63B3BB69-23CF-44E3-9099-C40C66FF867C}">
                  <a14:compatExt spid="_x0000_s28704"/>
                </a:ext>
                <a:ext uri="{FF2B5EF4-FFF2-40B4-BE49-F238E27FC236}">
                  <a16:creationId xmlns:a16="http://schemas.microsoft.com/office/drawing/2014/main" id="{00000000-0008-0000-0000-00002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Кровельное железо</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495300</xdr:colOff>
          <xdr:row>93</xdr:row>
          <xdr:rowOff>38100</xdr:rowOff>
        </xdr:from>
        <xdr:to>
          <xdr:col>10</xdr:col>
          <xdr:colOff>581025</xdr:colOff>
          <xdr:row>93</xdr:row>
          <xdr:rowOff>161925</xdr:rowOff>
        </xdr:to>
        <xdr:sp macro="" textlink="">
          <xdr:nvSpPr>
            <xdr:cNvPr id="28705" name="Option Button 33" hidden="1">
              <a:extLst>
                <a:ext uri="{63B3BB69-23CF-44E3-9099-C40C66FF867C}">
                  <a14:compatExt spid="_x0000_s28705"/>
                </a:ext>
                <a:ext uri="{FF2B5EF4-FFF2-40B4-BE49-F238E27FC236}">
                  <a16:creationId xmlns:a16="http://schemas.microsoft.com/office/drawing/2014/main" id="{00000000-0008-0000-0000-00002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Мягкая (гудронированная)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94</xdr:row>
          <xdr:rowOff>9525</xdr:rowOff>
        </xdr:from>
        <xdr:to>
          <xdr:col>4</xdr:col>
          <xdr:colOff>314325</xdr:colOff>
          <xdr:row>94</xdr:row>
          <xdr:rowOff>161925</xdr:rowOff>
        </xdr:to>
        <xdr:sp macro="" textlink="">
          <xdr:nvSpPr>
            <xdr:cNvPr id="28706" name="Option Button 34" hidden="1">
              <a:extLst>
                <a:ext uri="{63B3BB69-23CF-44E3-9099-C40C66FF867C}">
                  <a14:compatExt spid="_x0000_s28706"/>
                </a:ext>
                <a:ext uri="{FF2B5EF4-FFF2-40B4-BE49-F238E27FC236}">
                  <a16:creationId xmlns:a16="http://schemas.microsoft.com/office/drawing/2014/main" id="{00000000-0008-0000-0000-00002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Иная (укажите):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95</xdr:row>
          <xdr:rowOff>28575</xdr:rowOff>
        </xdr:from>
        <xdr:to>
          <xdr:col>8</xdr:col>
          <xdr:colOff>95250</xdr:colOff>
          <xdr:row>95</xdr:row>
          <xdr:rowOff>161925</xdr:rowOff>
        </xdr:to>
        <xdr:sp macro="" textlink="">
          <xdr:nvSpPr>
            <xdr:cNvPr id="28708" name="Option Button 36" hidden="1">
              <a:extLst>
                <a:ext uri="{63B3BB69-23CF-44E3-9099-C40C66FF867C}">
                  <a14:compatExt spid="_x0000_s28708"/>
                </a:ext>
                <a:ext uri="{FF2B5EF4-FFF2-40B4-BE49-F238E27FC236}">
                  <a16:creationId xmlns:a16="http://schemas.microsoft.com/office/drawing/2014/main" id="{00000000-0008-0000-0000-00002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 наличии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504825</xdr:colOff>
          <xdr:row>95</xdr:row>
          <xdr:rowOff>28575</xdr:rowOff>
        </xdr:from>
        <xdr:to>
          <xdr:col>9</xdr:col>
          <xdr:colOff>638175</xdr:colOff>
          <xdr:row>95</xdr:row>
          <xdr:rowOff>171450</xdr:rowOff>
        </xdr:to>
        <xdr:sp macro="" textlink="">
          <xdr:nvSpPr>
            <xdr:cNvPr id="28709" name="Option Button 37" hidden="1">
              <a:extLst>
                <a:ext uri="{63B3BB69-23CF-44E3-9099-C40C66FF867C}">
                  <a14:compatExt spid="_x0000_s28709"/>
                </a:ext>
                <a:ext uri="{FF2B5EF4-FFF2-40B4-BE49-F238E27FC236}">
                  <a16:creationId xmlns:a16="http://schemas.microsoft.com/office/drawing/2014/main" id="{00000000-0008-0000-0000-00002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Отсутствует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98</xdr:row>
          <xdr:rowOff>28575</xdr:rowOff>
        </xdr:from>
        <xdr:to>
          <xdr:col>10</xdr:col>
          <xdr:colOff>152400</xdr:colOff>
          <xdr:row>98</xdr:row>
          <xdr:rowOff>171450</xdr:rowOff>
        </xdr:to>
        <xdr:sp macro="" textlink="">
          <xdr:nvSpPr>
            <xdr:cNvPr id="28710" name="Option Button 38" hidden="1">
              <a:extLst>
                <a:ext uri="{63B3BB69-23CF-44E3-9099-C40C66FF867C}">
                  <a14:compatExt spid="_x0000_s28710"/>
                </a:ext>
                <a:ext uri="{FF2B5EF4-FFF2-40B4-BE49-F238E27FC236}">
                  <a16:creationId xmlns:a16="http://schemas.microsoft.com/office/drawing/2014/main" id="{00000000-0008-0000-0000-00002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 выведена (ревун) / ручная / отсутствует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98</xdr:row>
          <xdr:rowOff>209550</xdr:rowOff>
        </xdr:from>
        <xdr:to>
          <xdr:col>9</xdr:col>
          <xdr:colOff>466725</xdr:colOff>
          <xdr:row>98</xdr:row>
          <xdr:rowOff>361950</xdr:rowOff>
        </xdr:to>
        <xdr:sp macro="" textlink="">
          <xdr:nvSpPr>
            <xdr:cNvPr id="28711" name="Option Button 39" hidden="1">
              <a:extLst>
                <a:ext uri="{63B3BB69-23CF-44E3-9099-C40C66FF867C}">
                  <a14:compatExt spid="_x0000_s28711"/>
                </a:ext>
                <a:ext uri="{FF2B5EF4-FFF2-40B4-BE49-F238E27FC236}">
                  <a16:creationId xmlns:a16="http://schemas.microsoft.com/office/drawing/2014/main" id="{00000000-0008-0000-0000-00002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Пульт городской пожарной части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91</xdr:row>
          <xdr:rowOff>38100</xdr:rowOff>
        </xdr:from>
        <xdr:to>
          <xdr:col>4</xdr:col>
          <xdr:colOff>428625</xdr:colOff>
          <xdr:row>91</xdr:row>
          <xdr:rowOff>180975</xdr:rowOff>
        </xdr:to>
        <xdr:sp macro="" textlink="">
          <xdr:nvSpPr>
            <xdr:cNvPr id="28712" name="Option Button 40" hidden="1">
              <a:extLst>
                <a:ext uri="{63B3BB69-23CF-44E3-9099-C40C66FF867C}">
                  <a14:compatExt spid="_x0000_s28712"/>
                </a:ext>
                <a:ext uri="{FF2B5EF4-FFF2-40B4-BE49-F238E27FC236}">
                  <a16:creationId xmlns:a16="http://schemas.microsoft.com/office/drawing/2014/main" id="{00000000-0008-0000-0000-00002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Железобетонные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600075</xdr:colOff>
          <xdr:row>91</xdr:row>
          <xdr:rowOff>28575</xdr:rowOff>
        </xdr:from>
        <xdr:to>
          <xdr:col>6</xdr:col>
          <xdr:colOff>180975</xdr:colOff>
          <xdr:row>91</xdr:row>
          <xdr:rowOff>161925</xdr:rowOff>
        </xdr:to>
        <xdr:sp macro="" textlink="">
          <xdr:nvSpPr>
            <xdr:cNvPr id="28713" name="Option Button 41" hidden="1">
              <a:extLst>
                <a:ext uri="{63B3BB69-23CF-44E3-9099-C40C66FF867C}">
                  <a14:compatExt spid="_x0000_s28713"/>
                </a:ext>
                <a:ext uri="{FF2B5EF4-FFF2-40B4-BE49-F238E27FC236}">
                  <a16:creationId xmlns:a16="http://schemas.microsoft.com/office/drawing/2014/main" id="{00000000-0008-0000-0000-00002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Металлические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92</xdr:row>
          <xdr:rowOff>28575</xdr:rowOff>
        </xdr:from>
        <xdr:to>
          <xdr:col>4</xdr:col>
          <xdr:colOff>314325</xdr:colOff>
          <xdr:row>92</xdr:row>
          <xdr:rowOff>161925</xdr:rowOff>
        </xdr:to>
        <xdr:sp macro="" textlink="">
          <xdr:nvSpPr>
            <xdr:cNvPr id="28714" name="Option Button 42" hidden="1">
              <a:extLst>
                <a:ext uri="{63B3BB69-23CF-44E3-9099-C40C66FF867C}">
                  <a14:compatExt spid="_x0000_s28714"/>
                </a:ext>
                <a:ext uri="{FF2B5EF4-FFF2-40B4-BE49-F238E27FC236}">
                  <a16:creationId xmlns:a16="http://schemas.microsoft.com/office/drawing/2014/main" id="{00000000-0008-0000-0000-00002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Иные (укажите):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99</xdr:row>
          <xdr:rowOff>28575</xdr:rowOff>
        </xdr:from>
        <xdr:to>
          <xdr:col>7</xdr:col>
          <xdr:colOff>85725</xdr:colOff>
          <xdr:row>99</xdr:row>
          <xdr:rowOff>171450</xdr:rowOff>
        </xdr:to>
        <xdr:sp macro="" textlink="">
          <xdr:nvSpPr>
            <xdr:cNvPr id="28715" name="Option Button 43" hidden="1">
              <a:extLst>
                <a:ext uri="{63B3BB69-23CF-44E3-9099-C40C66FF867C}">
                  <a14:compatExt spid="_x0000_s28715"/>
                </a:ext>
                <a:ext uri="{FF2B5EF4-FFF2-40B4-BE49-F238E27FC236}">
                  <a16:creationId xmlns:a16="http://schemas.microsoft.com/office/drawing/2014/main" id="{00000000-0008-0000-0000-00002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Менее 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295275</xdr:colOff>
          <xdr:row>99</xdr:row>
          <xdr:rowOff>28575</xdr:rowOff>
        </xdr:from>
        <xdr:to>
          <xdr:col>8</xdr:col>
          <xdr:colOff>238125</xdr:colOff>
          <xdr:row>99</xdr:row>
          <xdr:rowOff>161925</xdr:rowOff>
        </xdr:to>
        <xdr:sp macro="" textlink="">
          <xdr:nvSpPr>
            <xdr:cNvPr id="28716" name="Option Button 44" hidden="1">
              <a:extLst>
                <a:ext uri="{63B3BB69-23CF-44E3-9099-C40C66FF867C}">
                  <a14:compatExt spid="_x0000_s28716"/>
                </a:ext>
                <a:ext uri="{FF2B5EF4-FFF2-40B4-BE49-F238E27FC236}">
                  <a16:creationId xmlns:a16="http://schemas.microsoft.com/office/drawing/2014/main" id="{00000000-0008-0000-0000-00002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25 - 49%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428625</xdr:colOff>
          <xdr:row>99</xdr:row>
          <xdr:rowOff>28575</xdr:rowOff>
        </xdr:from>
        <xdr:to>
          <xdr:col>9</xdr:col>
          <xdr:colOff>371475</xdr:colOff>
          <xdr:row>99</xdr:row>
          <xdr:rowOff>171450</xdr:rowOff>
        </xdr:to>
        <xdr:sp macro="" textlink="">
          <xdr:nvSpPr>
            <xdr:cNvPr id="28717" name="Option Button 45" hidden="1">
              <a:extLst>
                <a:ext uri="{63B3BB69-23CF-44E3-9099-C40C66FF867C}">
                  <a14:compatExt spid="_x0000_s28717"/>
                </a:ext>
                <a:ext uri="{FF2B5EF4-FFF2-40B4-BE49-F238E27FC236}">
                  <a16:creationId xmlns:a16="http://schemas.microsoft.com/office/drawing/2014/main" id="{00000000-0008-0000-0000-00002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50 - 74%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99</xdr:row>
          <xdr:rowOff>28575</xdr:rowOff>
        </xdr:from>
        <xdr:to>
          <xdr:col>10</xdr:col>
          <xdr:colOff>704850</xdr:colOff>
          <xdr:row>99</xdr:row>
          <xdr:rowOff>171450</xdr:rowOff>
        </xdr:to>
        <xdr:sp macro="" textlink="">
          <xdr:nvSpPr>
            <xdr:cNvPr id="28718" name="Option Button 46" hidden="1">
              <a:extLst>
                <a:ext uri="{63B3BB69-23CF-44E3-9099-C40C66FF867C}">
                  <a14:compatExt spid="_x0000_s28718"/>
                </a:ext>
                <a:ext uri="{FF2B5EF4-FFF2-40B4-BE49-F238E27FC236}">
                  <a16:creationId xmlns:a16="http://schemas.microsoft.com/office/drawing/2014/main" id="{00000000-0008-0000-0000-00002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75 - 100%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103</xdr:row>
          <xdr:rowOff>19050</xdr:rowOff>
        </xdr:from>
        <xdr:to>
          <xdr:col>10</xdr:col>
          <xdr:colOff>400050</xdr:colOff>
          <xdr:row>103</xdr:row>
          <xdr:rowOff>171450</xdr:rowOff>
        </xdr:to>
        <xdr:sp macro="" textlink="">
          <xdr:nvSpPr>
            <xdr:cNvPr id="28719" name="Option Button 47" descr="Не применяются" hidden="1">
              <a:extLst>
                <a:ext uri="{63B3BB69-23CF-44E3-9099-C40C66FF867C}">
                  <a14:compatExt spid="_x0000_s28719"/>
                </a:ext>
                <a:ext uri="{FF2B5EF4-FFF2-40B4-BE49-F238E27FC236}">
                  <a16:creationId xmlns:a16="http://schemas.microsoft.com/office/drawing/2014/main" id="{00000000-0008-0000-0000-00002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 предписаний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103</xdr:row>
          <xdr:rowOff>209550</xdr:rowOff>
        </xdr:from>
        <xdr:to>
          <xdr:col>10</xdr:col>
          <xdr:colOff>438150</xdr:colOff>
          <xdr:row>103</xdr:row>
          <xdr:rowOff>342900</xdr:rowOff>
        </xdr:to>
        <xdr:sp macro="" textlink="">
          <xdr:nvSpPr>
            <xdr:cNvPr id="28720" name="Option Button 48" descr="Не применяются" hidden="1">
              <a:extLst>
                <a:ext uri="{63B3BB69-23CF-44E3-9099-C40C66FF867C}">
                  <a14:compatExt spid="_x0000_s28720"/>
                </a:ext>
                <a:ext uri="{FF2B5EF4-FFF2-40B4-BE49-F238E27FC236}">
                  <a16:creationId xmlns:a16="http://schemas.microsoft.com/office/drawing/2014/main" id="{00000000-0008-0000-0000-00003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Есть предписания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104</xdr:row>
          <xdr:rowOff>57150</xdr:rowOff>
        </xdr:from>
        <xdr:to>
          <xdr:col>9</xdr:col>
          <xdr:colOff>257175</xdr:colOff>
          <xdr:row>104</xdr:row>
          <xdr:rowOff>180975</xdr:rowOff>
        </xdr:to>
        <xdr:sp macro="" textlink="">
          <xdr:nvSpPr>
            <xdr:cNvPr id="28721" name="Option Button 49" hidden="1">
              <a:extLst>
                <a:ext uri="{63B3BB69-23CF-44E3-9099-C40C66FF867C}">
                  <a14:compatExt spid="_x0000_s28721"/>
                </a:ext>
                <a:ext uri="{FF2B5EF4-FFF2-40B4-BE49-F238E27FC236}">
                  <a16:creationId xmlns:a16="http://schemas.microsoft.com/office/drawing/2014/main" id="{00000000-0008-0000-0000-00003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 установлена / не работает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104</xdr:row>
          <xdr:rowOff>219075</xdr:rowOff>
        </xdr:from>
        <xdr:to>
          <xdr:col>9</xdr:col>
          <xdr:colOff>333375</xdr:colOff>
          <xdr:row>104</xdr:row>
          <xdr:rowOff>361950</xdr:rowOff>
        </xdr:to>
        <xdr:sp macro="" textlink="">
          <xdr:nvSpPr>
            <xdr:cNvPr id="28722" name="Option Button 50" hidden="1">
              <a:extLst>
                <a:ext uri="{63B3BB69-23CF-44E3-9099-C40C66FF867C}">
                  <a14:compatExt spid="_x0000_s28722"/>
                </a:ext>
                <a:ext uri="{FF2B5EF4-FFF2-40B4-BE49-F238E27FC236}">
                  <a16:creationId xmlns:a16="http://schemas.microsoft.com/office/drawing/2014/main" id="{00000000-0008-0000-0000-00003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 с выводом на ОВО / ЧОП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107</xdr:row>
          <xdr:rowOff>19050</xdr:rowOff>
        </xdr:from>
        <xdr:to>
          <xdr:col>9</xdr:col>
          <xdr:colOff>476250</xdr:colOff>
          <xdr:row>107</xdr:row>
          <xdr:rowOff>152400</xdr:rowOff>
        </xdr:to>
        <xdr:sp macro="" textlink="">
          <xdr:nvSpPr>
            <xdr:cNvPr id="28729" name="Option Button 57" hidden="1">
              <a:extLst>
                <a:ext uri="{63B3BB69-23CF-44E3-9099-C40C66FF867C}">
                  <a14:compatExt spid="_x0000_s28729"/>
                </a:ext>
                <a:ext uri="{FF2B5EF4-FFF2-40B4-BE49-F238E27FC236}">
                  <a16:creationId xmlns:a16="http://schemas.microsoft.com/office/drawing/2014/main" id="{00000000-0008-0000-0000-00003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Есть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523875</xdr:colOff>
          <xdr:row>107</xdr:row>
          <xdr:rowOff>28575</xdr:rowOff>
        </xdr:from>
        <xdr:to>
          <xdr:col>10</xdr:col>
          <xdr:colOff>266700</xdr:colOff>
          <xdr:row>107</xdr:row>
          <xdr:rowOff>152400</xdr:rowOff>
        </xdr:to>
        <xdr:sp macro="" textlink="">
          <xdr:nvSpPr>
            <xdr:cNvPr id="28730" name="Option Button 58" hidden="1">
              <a:extLst>
                <a:ext uri="{63B3BB69-23CF-44E3-9099-C40C66FF867C}">
                  <a14:compatExt spid="_x0000_s28730"/>
                </a:ext>
                <a:ext uri="{FF2B5EF4-FFF2-40B4-BE49-F238E27FC236}">
                  <a16:creationId xmlns:a16="http://schemas.microsoft.com/office/drawing/2014/main" id="{00000000-0008-0000-0000-00003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108</xdr:row>
          <xdr:rowOff>28575</xdr:rowOff>
        </xdr:from>
        <xdr:to>
          <xdr:col>9</xdr:col>
          <xdr:colOff>457200</xdr:colOff>
          <xdr:row>108</xdr:row>
          <xdr:rowOff>161925</xdr:rowOff>
        </xdr:to>
        <xdr:sp macro="" textlink="">
          <xdr:nvSpPr>
            <xdr:cNvPr id="28731" name="Option Button 59" hidden="1">
              <a:extLst>
                <a:ext uri="{63B3BB69-23CF-44E3-9099-C40C66FF867C}">
                  <a14:compatExt spid="_x0000_s28731"/>
                </a:ext>
                <a:ext uri="{FF2B5EF4-FFF2-40B4-BE49-F238E27FC236}">
                  <a16:creationId xmlns:a16="http://schemas.microsoft.com/office/drawing/2014/main" id="{00000000-0008-0000-0000-00003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Есть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523875</xdr:colOff>
          <xdr:row>108</xdr:row>
          <xdr:rowOff>28575</xdr:rowOff>
        </xdr:from>
        <xdr:to>
          <xdr:col>10</xdr:col>
          <xdr:colOff>295275</xdr:colOff>
          <xdr:row>108</xdr:row>
          <xdr:rowOff>161925</xdr:rowOff>
        </xdr:to>
        <xdr:sp macro="" textlink="">
          <xdr:nvSpPr>
            <xdr:cNvPr id="28732" name="Option Button 60" hidden="1">
              <a:extLst>
                <a:ext uri="{63B3BB69-23CF-44E3-9099-C40C66FF867C}">
                  <a14:compatExt spid="_x0000_s28732"/>
                </a:ext>
                <a:ext uri="{FF2B5EF4-FFF2-40B4-BE49-F238E27FC236}">
                  <a16:creationId xmlns:a16="http://schemas.microsoft.com/office/drawing/2014/main" id="{00000000-0008-0000-0000-00003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111</xdr:row>
          <xdr:rowOff>28575</xdr:rowOff>
        </xdr:from>
        <xdr:to>
          <xdr:col>9</xdr:col>
          <xdr:colOff>495300</xdr:colOff>
          <xdr:row>111</xdr:row>
          <xdr:rowOff>171450</xdr:rowOff>
        </xdr:to>
        <xdr:sp macro="" textlink="">
          <xdr:nvSpPr>
            <xdr:cNvPr id="28735" name="Option Button 63" hidden="1">
              <a:extLst>
                <a:ext uri="{63B3BB69-23CF-44E3-9099-C40C66FF867C}">
                  <a14:compatExt spid="_x0000_s28735"/>
                </a:ext>
                <a:ext uri="{FF2B5EF4-FFF2-40B4-BE49-F238E27FC236}">
                  <a16:creationId xmlns:a16="http://schemas.microsoft.com/office/drawing/2014/main" id="{00000000-0008-0000-0000-00003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Есть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111</xdr:row>
          <xdr:rowOff>28575</xdr:rowOff>
        </xdr:from>
        <xdr:to>
          <xdr:col>10</xdr:col>
          <xdr:colOff>247650</xdr:colOff>
          <xdr:row>111</xdr:row>
          <xdr:rowOff>171450</xdr:rowOff>
        </xdr:to>
        <xdr:sp macro="" textlink="">
          <xdr:nvSpPr>
            <xdr:cNvPr id="28736" name="Option Button 64" hidden="1">
              <a:extLst>
                <a:ext uri="{63B3BB69-23CF-44E3-9099-C40C66FF867C}">
                  <a14:compatExt spid="_x0000_s28736"/>
                </a:ext>
                <a:ext uri="{FF2B5EF4-FFF2-40B4-BE49-F238E27FC236}">
                  <a16:creationId xmlns:a16="http://schemas.microsoft.com/office/drawing/2014/main" id="{00000000-0008-0000-0000-00004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100</xdr:row>
          <xdr:rowOff>28575</xdr:rowOff>
        </xdr:from>
        <xdr:to>
          <xdr:col>9</xdr:col>
          <xdr:colOff>361950</xdr:colOff>
          <xdr:row>100</xdr:row>
          <xdr:rowOff>180975</xdr:rowOff>
        </xdr:to>
        <xdr:sp macro="" textlink="">
          <xdr:nvSpPr>
            <xdr:cNvPr id="28741" name="Option Button 69" hidden="1">
              <a:extLst>
                <a:ext uri="{63B3BB69-23CF-44E3-9099-C40C66FF867C}">
                  <a14:compatExt spid="_x0000_s28741"/>
                </a:ext>
                <a:ext uri="{FF2B5EF4-FFF2-40B4-BE49-F238E27FC236}">
                  <a16:creationId xmlns:a16="http://schemas.microsoft.com/office/drawing/2014/main" id="{00000000-0008-0000-0000-00004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552450</xdr:colOff>
          <xdr:row>100</xdr:row>
          <xdr:rowOff>9525</xdr:rowOff>
        </xdr:from>
        <xdr:to>
          <xdr:col>10</xdr:col>
          <xdr:colOff>304800</xdr:colOff>
          <xdr:row>100</xdr:row>
          <xdr:rowOff>152400</xdr:rowOff>
        </xdr:to>
        <xdr:sp macro="" textlink="">
          <xdr:nvSpPr>
            <xdr:cNvPr id="28742" name="Option Button 70" hidden="1">
              <a:extLst>
                <a:ext uri="{63B3BB69-23CF-44E3-9099-C40C66FF867C}">
                  <a14:compatExt spid="_x0000_s28742"/>
                </a:ext>
                <a:ext uri="{FF2B5EF4-FFF2-40B4-BE49-F238E27FC236}">
                  <a16:creationId xmlns:a16="http://schemas.microsoft.com/office/drawing/2014/main" id="{00000000-0008-0000-0000-00004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101</xdr:row>
          <xdr:rowOff>38100</xdr:rowOff>
        </xdr:from>
        <xdr:to>
          <xdr:col>9</xdr:col>
          <xdr:colOff>361950</xdr:colOff>
          <xdr:row>101</xdr:row>
          <xdr:rowOff>152400</xdr:rowOff>
        </xdr:to>
        <xdr:sp macro="" textlink="">
          <xdr:nvSpPr>
            <xdr:cNvPr id="28743" name="Option Button 71" hidden="1">
              <a:extLst>
                <a:ext uri="{63B3BB69-23CF-44E3-9099-C40C66FF867C}">
                  <a14:compatExt spid="_x0000_s28743"/>
                </a:ext>
                <a:ext uri="{FF2B5EF4-FFF2-40B4-BE49-F238E27FC236}">
                  <a16:creationId xmlns:a16="http://schemas.microsoft.com/office/drawing/2014/main" id="{00000000-0008-0000-0000-00004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552450</xdr:colOff>
          <xdr:row>101</xdr:row>
          <xdr:rowOff>9525</xdr:rowOff>
        </xdr:from>
        <xdr:to>
          <xdr:col>10</xdr:col>
          <xdr:colOff>276225</xdr:colOff>
          <xdr:row>101</xdr:row>
          <xdr:rowOff>152400</xdr:rowOff>
        </xdr:to>
        <xdr:sp macro="" textlink="">
          <xdr:nvSpPr>
            <xdr:cNvPr id="28744" name="Option Button 72" hidden="1">
              <a:extLst>
                <a:ext uri="{63B3BB69-23CF-44E3-9099-C40C66FF867C}">
                  <a14:compatExt spid="_x0000_s28744"/>
                </a:ext>
                <a:ext uri="{FF2B5EF4-FFF2-40B4-BE49-F238E27FC236}">
                  <a16:creationId xmlns:a16="http://schemas.microsoft.com/office/drawing/2014/main" id="{00000000-0008-0000-0000-00004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102</xdr:row>
          <xdr:rowOff>19050</xdr:rowOff>
        </xdr:from>
        <xdr:to>
          <xdr:col>9</xdr:col>
          <xdr:colOff>381000</xdr:colOff>
          <xdr:row>102</xdr:row>
          <xdr:rowOff>152400</xdr:rowOff>
        </xdr:to>
        <xdr:sp macro="" textlink="">
          <xdr:nvSpPr>
            <xdr:cNvPr id="28745" name="Option Button 73" hidden="1">
              <a:extLst>
                <a:ext uri="{63B3BB69-23CF-44E3-9099-C40C66FF867C}">
                  <a14:compatExt spid="_x0000_s28745"/>
                </a:ext>
                <a:ext uri="{FF2B5EF4-FFF2-40B4-BE49-F238E27FC236}">
                  <a16:creationId xmlns:a16="http://schemas.microsoft.com/office/drawing/2014/main" id="{00000000-0008-0000-0000-00004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561975</xdr:colOff>
          <xdr:row>102</xdr:row>
          <xdr:rowOff>19050</xdr:rowOff>
        </xdr:from>
        <xdr:to>
          <xdr:col>10</xdr:col>
          <xdr:colOff>276225</xdr:colOff>
          <xdr:row>102</xdr:row>
          <xdr:rowOff>152400</xdr:rowOff>
        </xdr:to>
        <xdr:sp macro="" textlink="">
          <xdr:nvSpPr>
            <xdr:cNvPr id="28746" name="Option Button 74" hidden="1">
              <a:extLst>
                <a:ext uri="{63B3BB69-23CF-44E3-9099-C40C66FF867C}">
                  <a14:compatExt spid="_x0000_s28746"/>
                </a:ext>
                <a:ext uri="{FF2B5EF4-FFF2-40B4-BE49-F238E27FC236}">
                  <a16:creationId xmlns:a16="http://schemas.microsoft.com/office/drawing/2014/main" id="{00000000-0008-0000-0000-00004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98</xdr:row>
          <xdr:rowOff>390525</xdr:rowOff>
        </xdr:from>
        <xdr:to>
          <xdr:col>10</xdr:col>
          <xdr:colOff>180975</xdr:colOff>
          <xdr:row>98</xdr:row>
          <xdr:rowOff>533400</xdr:rowOff>
        </xdr:to>
        <xdr:sp macro="" textlink="">
          <xdr:nvSpPr>
            <xdr:cNvPr id="28752" name="Option Button 80" hidden="1">
              <a:extLst>
                <a:ext uri="{63B3BB69-23CF-44E3-9099-C40C66FF867C}">
                  <a14:compatExt spid="_x0000_s28752"/>
                </a:ext>
                <a:ext uri="{FF2B5EF4-FFF2-40B4-BE49-F238E27FC236}">
                  <a16:creationId xmlns:a16="http://schemas.microsoft.com/office/drawing/2014/main" id="{00000000-0008-0000-0000-00005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Иной пульт (охрана, вахтер, полиция и т.п.)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104</xdr:row>
          <xdr:rowOff>371475</xdr:rowOff>
        </xdr:from>
        <xdr:to>
          <xdr:col>9</xdr:col>
          <xdr:colOff>542925</xdr:colOff>
          <xdr:row>104</xdr:row>
          <xdr:rowOff>542925</xdr:rowOff>
        </xdr:to>
        <xdr:sp macro="" textlink="">
          <xdr:nvSpPr>
            <xdr:cNvPr id="28753" name="Option Button 81" hidden="1">
              <a:extLst>
                <a:ext uri="{63B3BB69-23CF-44E3-9099-C40C66FF867C}">
                  <a14:compatExt spid="_x0000_s28753"/>
                </a:ext>
                <a:ext uri="{FF2B5EF4-FFF2-40B4-BE49-F238E27FC236}">
                  <a16:creationId xmlns:a16="http://schemas.microsoft.com/office/drawing/2014/main" id="{00000000-0008-0000-0000-00005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 с выводом на иной извещатель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106</xdr:row>
          <xdr:rowOff>38100</xdr:rowOff>
        </xdr:from>
        <xdr:to>
          <xdr:col>10</xdr:col>
          <xdr:colOff>390525</xdr:colOff>
          <xdr:row>106</xdr:row>
          <xdr:rowOff>180975</xdr:rowOff>
        </xdr:to>
        <xdr:sp macro="" textlink="">
          <xdr:nvSpPr>
            <xdr:cNvPr id="28754" name="Option Button 82" hidden="1">
              <a:extLst>
                <a:ext uri="{63B3BB69-23CF-44E3-9099-C40C66FF867C}">
                  <a14:compatExt spid="_x0000_s28754"/>
                </a:ext>
                <a:ext uri="{FF2B5EF4-FFF2-40B4-BE49-F238E27FC236}">
                  <a16:creationId xmlns:a16="http://schemas.microsoft.com/office/drawing/2014/main" id="{00000000-0008-0000-0000-00005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На первом этаже / в подвальном / полуподвальном помещении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106</xdr:row>
          <xdr:rowOff>190500</xdr:rowOff>
        </xdr:from>
        <xdr:to>
          <xdr:col>7</xdr:col>
          <xdr:colOff>295275</xdr:colOff>
          <xdr:row>106</xdr:row>
          <xdr:rowOff>342900</xdr:rowOff>
        </xdr:to>
        <xdr:sp macro="" textlink="">
          <xdr:nvSpPr>
            <xdr:cNvPr id="28755" name="Option Button 83" hidden="1">
              <a:extLst>
                <a:ext uri="{63B3BB69-23CF-44E3-9099-C40C66FF867C}">
                  <a14:compatExt spid="_x0000_s28755"/>
                </a:ext>
                <a:ext uri="{FF2B5EF4-FFF2-40B4-BE49-F238E27FC236}">
                  <a16:creationId xmlns:a16="http://schemas.microsoft.com/office/drawing/2014/main" id="{00000000-0008-0000-0000-00005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На ином этаже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106</xdr:row>
          <xdr:rowOff>200025</xdr:rowOff>
        </xdr:from>
        <xdr:to>
          <xdr:col>9</xdr:col>
          <xdr:colOff>333375</xdr:colOff>
          <xdr:row>106</xdr:row>
          <xdr:rowOff>333375</xdr:rowOff>
        </xdr:to>
        <xdr:sp macro="" textlink="">
          <xdr:nvSpPr>
            <xdr:cNvPr id="28756" name="Option Button 84" hidden="1">
              <a:extLst>
                <a:ext uri="{63B3BB69-23CF-44E3-9099-C40C66FF867C}">
                  <a14:compatExt spid="_x0000_s28756"/>
                </a:ext>
                <a:ext uri="{FF2B5EF4-FFF2-40B4-BE49-F238E27FC236}">
                  <a16:creationId xmlns:a16="http://schemas.microsoft.com/office/drawing/2014/main" id="{00000000-0008-0000-0000-00005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Здание целиком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39</xdr:row>
          <xdr:rowOff>771525</xdr:rowOff>
        </xdr:from>
        <xdr:to>
          <xdr:col>2</xdr:col>
          <xdr:colOff>142875</xdr:colOff>
          <xdr:row>39</xdr:row>
          <xdr:rowOff>942975</xdr:rowOff>
        </xdr:to>
        <xdr:sp macro="" textlink="">
          <xdr:nvSpPr>
            <xdr:cNvPr id="28758" name="Option Button 86" hidden="1">
              <a:extLst>
                <a:ext uri="{63B3BB69-23CF-44E3-9099-C40C66FF867C}">
                  <a14:compatExt spid="_x0000_s28758"/>
                </a:ext>
                <a:ext uri="{FF2B5EF4-FFF2-40B4-BE49-F238E27FC236}">
                  <a16:creationId xmlns:a16="http://schemas.microsoft.com/office/drawing/2014/main" id="{00000000-0008-0000-0000-00005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Залоговая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40</xdr:row>
          <xdr:rowOff>19050</xdr:rowOff>
        </xdr:from>
        <xdr:to>
          <xdr:col>2</xdr:col>
          <xdr:colOff>352425</xdr:colOff>
          <xdr:row>40</xdr:row>
          <xdr:rowOff>171450</xdr:rowOff>
        </xdr:to>
        <xdr:sp macro="" textlink="">
          <xdr:nvSpPr>
            <xdr:cNvPr id="28759" name="Option Button 87" hidden="1">
              <a:extLst>
                <a:ext uri="{63B3BB69-23CF-44E3-9099-C40C66FF867C}">
                  <a14:compatExt spid="_x0000_s28759"/>
                </a:ext>
                <a:ext uri="{FF2B5EF4-FFF2-40B4-BE49-F238E27FC236}">
                  <a16:creationId xmlns:a16="http://schemas.microsoft.com/office/drawing/2014/main" id="{00000000-0008-0000-0000-00005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Иное (укажите):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79</xdr:row>
          <xdr:rowOff>28575</xdr:rowOff>
        </xdr:from>
        <xdr:to>
          <xdr:col>8</xdr:col>
          <xdr:colOff>457200</xdr:colOff>
          <xdr:row>79</xdr:row>
          <xdr:rowOff>171450</xdr:rowOff>
        </xdr:to>
        <xdr:sp macro="" textlink="">
          <xdr:nvSpPr>
            <xdr:cNvPr id="28761" name="Option Button 89" hidden="1">
              <a:extLst>
                <a:ext uri="{63B3BB69-23CF-44E3-9099-C40C66FF867C}">
                  <a14:compatExt spid="_x0000_s28761"/>
                </a:ext>
                <a:ext uri="{FF2B5EF4-FFF2-40B4-BE49-F238E27FC236}">
                  <a16:creationId xmlns:a16="http://schemas.microsoft.com/office/drawing/2014/main" id="{00000000-0008-0000-0000-00005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 собственности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xdr:colOff>
          <xdr:row>79</xdr:row>
          <xdr:rowOff>28575</xdr:rowOff>
        </xdr:from>
        <xdr:to>
          <xdr:col>10</xdr:col>
          <xdr:colOff>514350</xdr:colOff>
          <xdr:row>79</xdr:row>
          <xdr:rowOff>161925</xdr:rowOff>
        </xdr:to>
        <xdr:sp macro="" textlink="">
          <xdr:nvSpPr>
            <xdr:cNvPr id="28762" name="Option Button 90" hidden="1">
              <a:extLst>
                <a:ext uri="{63B3BB69-23CF-44E3-9099-C40C66FF867C}">
                  <a14:compatExt spid="_x0000_s28762"/>
                </a:ext>
                <a:ext uri="{FF2B5EF4-FFF2-40B4-BE49-F238E27FC236}">
                  <a16:creationId xmlns:a16="http://schemas.microsoft.com/office/drawing/2014/main" id="{00000000-0008-0000-0000-00005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Арендуемое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xdr:colOff>
          <xdr:row>41</xdr:row>
          <xdr:rowOff>28575</xdr:rowOff>
        </xdr:from>
        <xdr:to>
          <xdr:col>8</xdr:col>
          <xdr:colOff>371475</xdr:colOff>
          <xdr:row>41</xdr:row>
          <xdr:rowOff>152400</xdr:rowOff>
        </xdr:to>
        <xdr:sp macro="" textlink="">
          <xdr:nvSpPr>
            <xdr:cNvPr id="28764" name="Option Button 92" hidden="1">
              <a:extLst>
                <a:ext uri="{63B3BB69-23CF-44E3-9099-C40C66FF867C}">
                  <a14:compatExt spid="_x0000_s28764"/>
                </a:ext>
                <a:ext uri="{FF2B5EF4-FFF2-40B4-BE49-F238E27FC236}">
                  <a16:creationId xmlns:a16="http://schemas.microsoft.com/office/drawing/2014/main" id="{00000000-0008-0000-0000-00005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Включен (с НДС)</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41</xdr:row>
          <xdr:rowOff>28575</xdr:rowOff>
        </xdr:from>
        <xdr:to>
          <xdr:col>10</xdr:col>
          <xdr:colOff>590550</xdr:colOff>
          <xdr:row>41</xdr:row>
          <xdr:rowOff>161925</xdr:rowOff>
        </xdr:to>
        <xdr:sp macro="" textlink="">
          <xdr:nvSpPr>
            <xdr:cNvPr id="28765" name="Option Button 93" hidden="1">
              <a:extLst>
                <a:ext uri="{63B3BB69-23CF-44E3-9099-C40C66FF867C}">
                  <a14:compatExt spid="_x0000_s28765"/>
                </a:ext>
                <a:ext uri="{FF2B5EF4-FFF2-40B4-BE49-F238E27FC236}">
                  <a16:creationId xmlns:a16="http://schemas.microsoft.com/office/drawing/2014/main" id="{00000000-0008-0000-0000-00005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 включен (без НДС)</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109</xdr:row>
          <xdr:rowOff>28575</xdr:rowOff>
        </xdr:from>
        <xdr:to>
          <xdr:col>6</xdr:col>
          <xdr:colOff>466725</xdr:colOff>
          <xdr:row>109</xdr:row>
          <xdr:rowOff>171450</xdr:rowOff>
        </xdr:to>
        <xdr:sp macro="" textlink="">
          <xdr:nvSpPr>
            <xdr:cNvPr id="28786" name="Option Button 114" hidden="1">
              <a:extLst>
                <a:ext uri="{63B3BB69-23CF-44E3-9099-C40C66FF867C}">
                  <a14:compatExt spid="_x0000_s28786"/>
                </a:ext>
                <a:ext uri="{FF2B5EF4-FFF2-40B4-BE49-F238E27FC236}">
                  <a16:creationId xmlns:a16="http://schemas.microsoft.com/office/drawing/2014/main" id="{00000000-0008-0000-0000-00007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109</xdr:row>
          <xdr:rowOff>19050</xdr:rowOff>
        </xdr:from>
        <xdr:to>
          <xdr:col>7</xdr:col>
          <xdr:colOff>619125</xdr:colOff>
          <xdr:row>109</xdr:row>
          <xdr:rowOff>180975</xdr:rowOff>
        </xdr:to>
        <xdr:sp macro="" textlink="">
          <xdr:nvSpPr>
            <xdr:cNvPr id="28787" name="Option Button 115" hidden="1">
              <a:extLst>
                <a:ext uri="{63B3BB69-23CF-44E3-9099-C40C66FF867C}">
                  <a14:compatExt spid="_x0000_s28787"/>
                </a:ext>
                <a:ext uri="{FF2B5EF4-FFF2-40B4-BE49-F238E27FC236}">
                  <a16:creationId xmlns:a16="http://schemas.microsoft.com/office/drawing/2014/main" id="{00000000-0008-0000-0000-00007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ОВО</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109</xdr:row>
          <xdr:rowOff>28575</xdr:rowOff>
        </xdr:from>
        <xdr:to>
          <xdr:col>8</xdr:col>
          <xdr:colOff>685800</xdr:colOff>
          <xdr:row>109</xdr:row>
          <xdr:rowOff>171450</xdr:rowOff>
        </xdr:to>
        <xdr:sp macro="" textlink="">
          <xdr:nvSpPr>
            <xdr:cNvPr id="28788" name="Option Button 116" hidden="1">
              <a:extLst>
                <a:ext uri="{63B3BB69-23CF-44E3-9099-C40C66FF867C}">
                  <a14:compatExt spid="_x0000_s28788"/>
                </a:ext>
                <a:ext uri="{FF2B5EF4-FFF2-40B4-BE49-F238E27FC236}">
                  <a16:creationId xmlns:a16="http://schemas.microsoft.com/office/drawing/2014/main" id="{00000000-0008-0000-0000-00007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ЧОП</a:t>
              </a:r>
            </a:p>
          </xdr:txBody>
        </xdr:sp>
        <xdr:clientData/>
      </xdr:twoCellAnchor>
    </mc:Choice>
    <mc:Fallback/>
  </mc:AlternateContent>
  <xdr:twoCellAnchor>
    <xdr:from>
      <xdr:col>0</xdr:col>
      <xdr:colOff>0</xdr:colOff>
      <xdr:row>0</xdr:row>
      <xdr:rowOff>24848</xdr:rowOff>
    </xdr:from>
    <xdr:to>
      <xdr:col>11</xdr:col>
      <xdr:colOff>8282</xdr:colOff>
      <xdr:row>1</xdr:row>
      <xdr:rowOff>0</xdr:rowOff>
    </xdr:to>
    <xdr:sp macro="" textlink="">
      <xdr:nvSpPr>
        <xdr:cNvPr id="28790" name="Text Box 118">
          <a:extLst>
            <a:ext uri="{FF2B5EF4-FFF2-40B4-BE49-F238E27FC236}">
              <a16:creationId xmlns:a16="http://schemas.microsoft.com/office/drawing/2014/main" id="{00000000-0008-0000-0000-000076700000}"/>
            </a:ext>
          </a:extLst>
        </xdr:cNvPr>
        <xdr:cNvSpPr txBox="1">
          <a:spLocks noChangeArrowheads="1"/>
        </xdr:cNvSpPr>
      </xdr:nvSpPr>
      <xdr:spPr>
        <a:xfrm>
          <a:off x="0" y="24765"/>
          <a:ext cx="7599680" cy="1244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ru-RU" sz="650" b="1" i="0" u="none" strike="noStrike" baseline="0">
              <a:solidFill>
                <a:srgbClr val="000000"/>
              </a:solidFill>
              <a:latin typeface="Tahoma" panose="020B0604030504040204"/>
              <a:ea typeface="Tahoma" panose="020B0604030504040204"/>
              <a:cs typeface="Tahoma" panose="020B0604030504040204"/>
            </a:rPr>
            <a:t>СТРАХОВОЕ ПУБЛИЧНОЕ </a:t>
          </a:r>
        </a:p>
        <a:p>
          <a:pPr algn="l" rtl="0">
            <a:defRPr sz="1000"/>
          </a:pPr>
          <a:r>
            <a:rPr lang="ru-RU" sz="650" b="1" i="0" u="none" strike="noStrike" baseline="0">
              <a:solidFill>
                <a:srgbClr val="000000"/>
              </a:solidFill>
              <a:latin typeface="Tahoma" panose="020B0604030504040204"/>
              <a:ea typeface="Tahoma" panose="020B0604030504040204"/>
              <a:cs typeface="Tahoma" panose="020B0604030504040204"/>
            </a:rPr>
            <a:t>АКЦИОНЕРНОЕ ОБЩЕСТВО</a:t>
          </a:r>
        </a:p>
        <a:p>
          <a:pPr algn="l" rtl="0">
            <a:defRPr sz="1000"/>
          </a:pPr>
          <a:r>
            <a:rPr lang="ru-RU" sz="650" b="1" i="0" u="none" strike="noStrike" baseline="0">
              <a:solidFill>
                <a:srgbClr val="000000"/>
              </a:solidFill>
              <a:latin typeface="Tahoma" panose="020B0604030504040204"/>
              <a:ea typeface="Tahoma" panose="020B0604030504040204"/>
              <a:cs typeface="Tahoma" panose="020B0604030504040204"/>
            </a:rPr>
            <a:t>(СПАО «ИНГОССТРАХ»)</a:t>
          </a:r>
        </a:p>
        <a:p>
          <a:pPr algn="l" rtl="0">
            <a:defRPr sz="1000"/>
          </a:pPr>
          <a:endParaRPr lang="ru-RU" sz="650" b="1" i="0" u="none" strike="noStrike" baseline="0">
            <a:solidFill>
              <a:srgbClr val="000000"/>
            </a:solidFill>
            <a:latin typeface="Tahoma" panose="020B0604030504040204"/>
            <a:ea typeface="Tahoma" panose="020B0604030504040204"/>
            <a:cs typeface="Tahoma" panose="020B0604030504040204"/>
          </a:endParaRPr>
        </a:p>
        <a:p>
          <a:pPr rtl="0"/>
          <a:r>
            <a:rPr lang="ru-RU" sz="700" b="0" i="0" baseline="0">
              <a:effectLst/>
              <a:latin typeface="Tahoma" panose="020B0604030504040204" pitchFamily="34" charset="0"/>
              <a:ea typeface="Tahoma" panose="020B0604030504040204" pitchFamily="34" charset="0"/>
              <a:cs typeface="Tahoma" panose="020B0604030504040204" pitchFamily="34" charset="0"/>
            </a:rPr>
            <a:t>1</a:t>
          </a:r>
          <a:r>
            <a:rPr lang="en-US" sz="700" b="0" i="0" baseline="0">
              <a:effectLst/>
              <a:latin typeface="Tahoma" panose="020B0604030504040204" pitchFamily="34" charset="0"/>
              <a:ea typeface="Tahoma" panose="020B0604030504040204" pitchFamily="34" charset="0"/>
              <a:cs typeface="Tahoma" panose="020B0604030504040204" pitchFamily="34" charset="0"/>
            </a:rPr>
            <a:t>15035</a:t>
          </a:r>
          <a:r>
            <a:rPr lang="ru-RU" sz="700" b="0" i="0" baseline="0">
              <a:effectLst/>
              <a:latin typeface="Tahoma" panose="020B0604030504040204" pitchFamily="34" charset="0"/>
              <a:ea typeface="Tahoma" panose="020B0604030504040204" pitchFamily="34" charset="0"/>
              <a:cs typeface="Tahoma" panose="020B0604030504040204" pitchFamily="34" charset="0"/>
            </a:rPr>
            <a:t>, Россия, г. Москва,  </a:t>
          </a:r>
          <a:endParaRPr lang="ru-RU" sz="700">
            <a:effectLst/>
            <a:latin typeface="Tahoma" panose="020B0604030504040204" pitchFamily="34" charset="0"/>
            <a:ea typeface="Tahoma" panose="020B0604030504040204" pitchFamily="34" charset="0"/>
            <a:cs typeface="Tahoma" panose="020B0604030504040204" pitchFamily="34" charset="0"/>
          </a:endParaRPr>
        </a:p>
        <a:p>
          <a:pPr rtl="0"/>
          <a:r>
            <a:rPr lang="ru-RU" sz="700" b="0" i="0" baseline="0">
              <a:effectLst/>
              <a:latin typeface="Tahoma" panose="020B0604030504040204" pitchFamily="34" charset="0"/>
              <a:ea typeface="Tahoma" panose="020B0604030504040204" pitchFamily="34" charset="0"/>
              <a:cs typeface="Tahoma" panose="020B0604030504040204" pitchFamily="34" charset="0"/>
            </a:rPr>
            <a:t>ул. Пятницкая, д. 12, стр. 2</a:t>
          </a:r>
          <a:endParaRPr lang="ru-RU" sz="700">
            <a:effectLst/>
            <a:latin typeface="Tahoma" panose="020B0604030504040204" pitchFamily="34" charset="0"/>
            <a:ea typeface="Tahoma" panose="020B0604030504040204" pitchFamily="34" charset="0"/>
            <a:cs typeface="Tahoma" panose="020B0604030504040204" pitchFamily="34" charset="0"/>
          </a:endParaRPr>
        </a:p>
        <a:p>
          <a:pPr rtl="0"/>
          <a:r>
            <a:rPr lang="ru-RU" sz="700" b="0" i="0" baseline="0">
              <a:effectLst/>
              <a:latin typeface="Tahoma" panose="020B0604030504040204" pitchFamily="34" charset="0"/>
              <a:ea typeface="Tahoma" panose="020B0604030504040204" pitchFamily="34" charset="0"/>
              <a:cs typeface="Tahoma" panose="020B0604030504040204" pitchFamily="34" charset="0"/>
            </a:rPr>
            <a:t>Тел.: +7 (495) 956 77 77</a:t>
          </a:r>
          <a:endParaRPr lang="ru-RU" sz="700">
            <a:effectLst/>
            <a:latin typeface="Tahoma" panose="020B0604030504040204" pitchFamily="34" charset="0"/>
            <a:ea typeface="Tahoma" panose="020B0604030504040204" pitchFamily="34" charset="0"/>
            <a:cs typeface="Tahoma" panose="020B0604030504040204" pitchFamily="34" charset="0"/>
          </a:endParaRPr>
        </a:p>
        <a:p>
          <a:pPr rtl="0"/>
          <a:r>
            <a:rPr lang="ru-RU" sz="700" b="0" i="0" baseline="0">
              <a:effectLst/>
              <a:latin typeface="Tahoma" panose="020B0604030504040204" pitchFamily="34" charset="0"/>
              <a:ea typeface="Tahoma" panose="020B0604030504040204" pitchFamily="34" charset="0"/>
              <a:cs typeface="Tahoma" panose="020B0604030504040204" pitchFamily="34" charset="0"/>
            </a:rPr>
            <a:t>www.ingos.ru</a:t>
          </a:r>
          <a:endParaRPr lang="ru-RU" sz="700">
            <a:effectLst/>
            <a:latin typeface="Tahoma" panose="020B0604030504040204" pitchFamily="34" charset="0"/>
            <a:ea typeface="Tahoma" panose="020B0604030504040204" pitchFamily="34" charset="0"/>
            <a:cs typeface="Tahoma" panose="020B0604030504040204" pitchFamily="34" charset="0"/>
          </a:endParaRPr>
        </a:p>
        <a:p>
          <a:pPr rtl="0"/>
          <a:r>
            <a:rPr lang="ru-RU" sz="700" b="0" i="0" baseline="0">
              <a:effectLst/>
              <a:latin typeface="Tahoma" panose="020B0604030504040204" pitchFamily="34" charset="0"/>
              <a:ea typeface="Tahoma" panose="020B0604030504040204" pitchFamily="34" charset="0"/>
              <a:cs typeface="Tahoma" panose="020B0604030504040204" pitchFamily="34" charset="0"/>
            </a:rPr>
            <a:t>E-mail: ingos</a:t>
          </a:r>
          <a:r>
            <a:rPr lang="en-US" sz="700" b="0" i="0" baseline="0">
              <a:effectLst/>
              <a:latin typeface="Tahoma" panose="020B0604030504040204" pitchFamily="34" charset="0"/>
              <a:ea typeface="Tahoma" panose="020B0604030504040204" pitchFamily="34" charset="0"/>
              <a:cs typeface="Tahoma" panose="020B0604030504040204" pitchFamily="34" charset="0"/>
            </a:rPr>
            <a:t>24</a:t>
          </a:r>
          <a:r>
            <a:rPr lang="ru-RU" sz="700" b="0" i="0" baseline="0">
              <a:effectLst/>
              <a:latin typeface="Tahoma" panose="020B0604030504040204" pitchFamily="34" charset="0"/>
              <a:ea typeface="Tahoma" panose="020B0604030504040204" pitchFamily="34" charset="0"/>
              <a:cs typeface="Tahoma" panose="020B0604030504040204" pitchFamily="34" charset="0"/>
            </a:rPr>
            <a:t>@ingos.ru</a:t>
          </a:r>
          <a:endParaRPr lang="ru-RU" sz="700">
            <a:effectLst/>
            <a:latin typeface="Tahoma" panose="020B0604030504040204" pitchFamily="34" charset="0"/>
            <a:ea typeface="Tahoma" panose="020B0604030504040204" pitchFamily="34" charset="0"/>
            <a:cs typeface="Tahoma" panose="020B0604030504040204" pitchFamily="34" charset="0"/>
          </a:endParaRPr>
        </a:p>
        <a:p>
          <a:pPr rtl="0"/>
          <a:r>
            <a:rPr lang="ru-RU" sz="700" b="0" i="0" baseline="0">
              <a:effectLst/>
              <a:latin typeface="Tahoma" panose="020B0604030504040204" pitchFamily="34" charset="0"/>
              <a:ea typeface="Tahoma" panose="020B0604030504040204" pitchFamily="34" charset="0"/>
              <a:cs typeface="Tahoma" panose="020B0604030504040204" pitchFamily="34" charset="0"/>
            </a:rPr>
            <a:t>ОКПО 02250942, ОГРН 1027739362474</a:t>
          </a:r>
          <a:endParaRPr lang="ru-RU" sz="700">
            <a:effectLst/>
            <a:latin typeface="Tahoma" panose="020B0604030504040204" pitchFamily="34" charset="0"/>
            <a:ea typeface="Tahoma" panose="020B0604030504040204" pitchFamily="34" charset="0"/>
            <a:cs typeface="Tahoma" panose="020B0604030504040204" pitchFamily="34" charset="0"/>
          </a:endParaRPr>
        </a:p>
        <a:p>
          <a:pPr rtl="0"/>
          <a:r>
            <a:rPr lang="ru-RU" sz="700" b="0" i="0" baseline="0">
              <a:effectLst/>
              <a:latin typeface="Tahoma" panose="020B0604030504040204" pitchFamily="34" charset="0"/>
              <a:ea typeface="Tahoma" panose="020B0604030504040204" pitchFamily="34" charset="0"/>
              <a:cs typeface="Tahoma" panose="020B0604030504040204" pitchFamily="34" charset="0"/>
            </a:rPr>
            <a:t>ИНН/КПП 7705042179 / 775001001</a:t>
          </a:r>
          <a:endParaRPr lang="ru-RU" sz="700">
            <a:effectLst/>
            <a:latin typeface="Tahoma" panose="020B0604030504040204" pitchFamily="34" charset="0"/>
            <a:ea typeface="Tahoma" panose="020B0604030504040204" pitchFamily="34" charset="0"/>
            <a:cs typeface="Tahoma" panose="020B0604030504040204" pitchFamily="34" charset="0"/>
          </a:endParaRPr>
        </a:p>
        <a:p>
          <a:pPr algn="l" rtl="0">
            <a:defRPr sz="1000"/>
          </a:pPr>
          <a:endParaRPr lang="ru-RU" sz="600" b="0" i="0" u="none" strike="noStrike" baseline="0">
            <a:solidFill>
              <a:srgbClr val="999999"/>
            </a:solidFill>
            <a:latin typeface="TornadoCyr-Medium"/>
          </a:endParaRPr>
        </a:p>
      </xdr:txBody>
    </xdr:sp>
    <xdr:clientData/>
  </xdr:twoCellAnchor>
  <mc:AlternateContent xmlns:mc="http://schemas.openxmlformats.org/markup-compatibility/2006">
    <mc:Choice xmlns:a14="http://schemas.microsoft.com/office/drawing/2010/main" Requires="a14">
      <xdr:twoCellAnchor editAs="oneCell">
        <xdr:from>
          <xdr:col>9</xdr:col>
          <xdr:colOff>28575</xdr:colOff>
          <xdr:row>112</xdr:row>
          <xdr:rowOff>28575</xdr:rowOff>
        </xdr:from>
        <xdr:to>
          <xdr:col>9</xdr:col>
          <xdr:colOff>542925</xdr:colOff>
          <xdr:row>112</xdr:row>
          <xdr:rowOff>171450</xdr:rowOff>
        </xdr:to>
        <xdr:sp macro="" textlink="">
          <xdr:nvSpPr>
            <xdr:cNvPr id="28796" name="Option Button 124" hidden="1">
              <a:extLst>
                <a:ext uri="{63B3BB69-23CF-44E3-9099-C40C66FF867C}">
                  <a14:compatExt spid="_x0000_s28796"/>
                </a:ext>
                <a:ext uri="{FF2B5EF4-FFF2-40B4-BE49-F238E27FC236}">
                  <a16:creationId xmlns:a16="http://schemas.microsoft.com/office/drawing/2014/main" id="{00000000-0008-0000-0000-00007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Есть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112</xdr:row>
          <xdr:rowOff>28575</xdr:rowOff>
        </xdr:from>
        <xdr:to>
          <xdr:col>10</xdr:col>
          <xdr:colOff>257175</xdr:colOff>
          <xdr:row>112</xdr:row>
          <xdr:rowOff>161925</xdr:rowOff>
        </xdr:to>
        <xdr:sp macro="" textlink="">
          <xdr:nvSpPr>
            <xdr:cNvPr id="28797" name="Option Button 125" hidden="1">
              <a:extLst>
                <a:ext uri="{63B3BB69-23CF-44E3-9099-C40C66FF867C}">
                  <a14:compatExt spid="_x0000_s28797"/>
                </a:ext>
                <a:ext uri="{FF2B5EF4-FFF2-40B4-BE49-F238E27FC236}">
                  <a16:creationId xmlns:a16="http://schemas.microsoft.com/office/drawing/2014/main" id="{00000000-0008-0000-0000-00007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38100</xdr:rowOff>
        </xdr:from>
        <xdr:to>
          <xdr:col>8</xdr:col>
          <xdr:colOff>209550</xdr:colOff>
          <xdr:row>96</xdr:row>
          <xdr:rowOff>171450</xdr:rowOff>
        </xdr:to>
        <xdr:sp macro="" textlink="">
          <xdr:nvSpPr>
            <xdr:cNvPr id="28804" name="Option Button 132" hidden="1">
              <a:extLst>
                <a:ext uri="{63B3BB69-23CF-44E3-9099-C40C66FF867C}">
                  <a14:compatExt spid="_x0000_s28804"/>
                </a:ext>
                <a:ext uri="{FF2B5EF4-FFF2-40B4-BE49-F238E27FC236}">
                  <a16:creationId xmlns:a16="http://schemas.microsoft.com/office/drawing/2014/main" id="{00000000-0008-0000-0000-00008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Используется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514350</xdr:colOff>
          <xdr:row>96</xdr:row>
          <xdr:rowOff>28575</xdr:rowOff>
        </xdr:from>
        <xdr:to>
          <xdr:col>10</xdr:col>
          <xdr:colOff>95250</xdr:colOff>
          <xdr:row>96</xdr:row>
          <xdr:rowOff>180975</xdr:rowOff>
        </xdr:to>
        <xdr:sp macro="" textlink="">
          <xdr:nvSpPr>
            <xdr:cNvPr id="28805" name="Option Button 133" hidden="1">
              <a:extLst>
                <a:ext uri="{63B3BB69-23CF-44E3-9099-C40C66FF867C}">
                  <a14:compatExt spid="_x0000_s28805"/>
                </a:ext>
                <a:ext uri="{FF2B5EF4-FFF2-40B4-BE49-F238E27FC236}">
                  <a16:creationId xmlns:a16="http://schemas.microsoft.com/office/drawing/2014/main" id="{00000000-0008-0000-0000-00008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 используется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371475</xdr:colOff>
          <xdr:row>109</xdr:row>
          <xdr:rowOff>28575</xdr:rowOff>
        </xdr:from>
        <xdr:to>
          <xdr:col>10</xdr:col>
          <xdr:colOff>533400</xdr:colOff>
          <xdr:row>109</xdr:row>
          <xdr:rowOff>171450</xdr:rowOff>
        </xdr:to>
        <xdr:sp macro="" textlink="">
          <xdr:nvSpPr>
            <xdr:cNvPr id="28811" name="Option Button 139" hidden="1">
              <a:extLst>
                <a:ext uri="{63B3BB69-23CF-44E3-9099-C40C66FF867C}">
                  <a14:compatExt spid="_x0000_s28811"/>
                </a:ext>
                <a:ext uri="{FF2B5EF4-FFF2-40B4-BE49-F238E27FC236}">
                  <a16:creationId xmlns:a16="http://schemas.microsoft.com/office/drawing/2014/main" id="{00000000-0008-0000-0000-00008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Собственная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42</xdr:row>
          <xdr:rowOff>28575</xdr:rowOff>
        </xdr:from>
        <xdr:to>
          <xdr:col>6</xdr:col>
          <xdr:colOff>152400</xdr:colOff>
          <xdr:row>42</xdr:row>
          <xdr:rowOff>161925</xdr:rowOff>
        </xdr:to>
        <xdr:sp macro="" textlink="">
          <xdr:nvSpPr>
            <xdr:cNvPr id="28812" name="Check Box 140" hidden="1">
              <a:extLst>
                <a:ext uri="{63B3BB69-23CF-44E3-9099-C40C66FF867C}">
                  <a14:compatExt spid="_x0000_s28812"/>
                </a:ext>
                <a:ext uri="{FF2B5EF4-FFF2-40B4-BE49-F238E27FC236}">
                  <a16:creationId xmlns:a16="http://schemas.microsoft.com/office/drawing/2014/main" id="{00000000-0008-0000-0000-00008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Требуется страхование "по первому риску" (без учета недострахования)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72</xdr:row>
          <xdr:rowOff>190500</xdr:rowOff>
        </xdr:from>
        <xdr:to>
          <xdr:col>10</xdr:col>
          <xdr:colOff>85725</xdr:colOff>
          <xdr:row>72</xdr:row>
          <xdr:rowOff>409575</xdr:rowOff>
        </xdr:to>
        <xdr:sp macro="" textlink="">
          <xdr:nvSpPr>
            <xdr:cNvPr id="28814" name="Check Box 142" descr="Пожар, воздействие продуктов горения (в том числе дыма), удар молнии, а также взрыв газа, употребляемого в бытовых целях" hidden="1">
              <a:extLst>
                <a:ext uri="{63B3BB69-23CF-44E3-9099-C40C66FF867C}">
                  <a14:compatExt spid="_x0000_s28814"/>
                </a:ext>
                <a:ext uri="{FF2B5EF4-FFF2-40B4-BE49-F238E27FC236}">
                  <a16:creationId xmlns:a16="http://schemas.microsoft.com/office/drawing/2014/main" id="{00000000-0008-0000-0000-00008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Пожар, в том числе вследствие удара молнии, воздействия продуктов горения (дыма, копоти, сажи)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72</xdr:row>
          <xdr:rowOff>361950</xdr:rowOff>
        </xdr:from>
        <xdr:to>
          <xdr:col>10</xdr:col>
          <xdr:colOff>95250</xdr:colOff>
          <xdr:row>72</xdr:row>
          <xdr:rowOff>581025</xdr:rowOff>
        </xdr:to>
        <xdr:sp macro="" textlink="">
          <xdr:nvSpPr>
            <xdr:cNvPr id="28815" name="Check Box 143" hidden="1">
              <a:extLst>
                <a:ext uri="{63B3BB69-23CF-44E3-9099-C40C66FF867C}">
                  <a14:compatExt spid="_x0000_s28815"/>
                </a:ext>
                <a:ext uri="{FF2B5EF4-FFF2-40B4-BE49-F238E27FC236}">
                  <a16:creationId xmlns:a16="http://schemas.microsoft.com/office/drawing/2014/main" id="{00000000-0008-0000-0000-00008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Стихийные бедствия и опасные природные явления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72</xdr:row>
          <xdr:rowOff>514350</xdr:rowOff>
        </xdr:from>
        <xdr:to>
          <xdr:col>10</xdr:col>
          <xdr:colOff>638175</xdr:colOff>
          <xdr:row>72</xdr:row>
          <xdr:rowOff>876300</xdr:rowOff>
        </xdr:to>
        <xdr:sp macro="" textlink="">
          <xdr:nvSpPr>
            <xdr:cNvPr id="28816" name="Check Box 144" descr="Повреждение застрахованного имущества водой из водопроводных, канализационных, отопительных систем,  систем пожаротушения и кондиционирования" hidden="1">
              <a:extLst>
                <a:ext uri="{63B3BB69-23CF-44E3-9099-C40C66FF867C}">
                  <a14:compatExt spid="_x0000_s28816"/>
                </a:ext>
                <a:ext uri="{FF2B5EF4-FFF2-40B4-BE49-F238E27FC236}">
                  <a16:creationId xmlns:a16="http://schemas.microsoft.com/office/drawing/2014/main" id="{00000000-0008-0000-0000-00009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Повреждение застрахованного имущества водой из водопроводных, канализационных, отопительных систем, сиcтем пожаротушения и кондиционирования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72</xdr:row>
          <xdr:rowOff>819150</xdr:rowOff>
        </xdr:from>
        <xdr:to>
          <xdr:col>8</xdr:col>
          <xdr:colOff>457200</xdr:colOff>
          <xdr:row>72</xdr:row>
          <xdr:rowOff>1038225</xdr:rowOff>
        </xdr:to>
        <xdr:sp macro="" textlink="">
          <xdr:nvSpPr>
            <xdr:cNvPr id="28817" name="Check Box 145" descr="Взрыв паровых котлов, газохранилищ, газопроводов, машин, аппаратов и других аналогичных устройств" hidden="1">
              <a:extLst>
                <a:ext uri="{63B3BB69-23CF-44E3-9099-C40C66FF867C}">
                  <a14:compatExt spid="_x0000_s28817"/>
                </a:ext>
                <a:ext uri="{FF2B5EF4-FFF2-40B4-BE49-F238E27FC236}">
                  <a16:creationId xmlns:a16="http://schemas.microsoft.com/office/drawing/2014/main" id="{00000000-0008-0000-0000-00009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Взрыв воспламеняющихся, взрывоопасных жидкостей, газов, паров и аэрозолей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72</xdr:row>
          <xdr:rowOff>981075</xdr:rowOff>
        </xdr:from>
        <xdr:to>
          <xdr:col>10</xdr:col>
          <xdr:colOff>9525</xdr:colOff>
          <xdr:row>72</xdr:row>
          <xdr:rowOff>1219200</xdr:rowOff>
        </xdr:to>
        <xdr:sp macro="" textlink="">
          <xdr:nvSpPr>
            <xdr:cNvPr id="28818" name="Check Box 146" hidden="1">
              <a:extLst>
                <a:ext uri="{63B3BB69-23CF-44E3-9099-C40C66FF867C}">
                  <a14:compatExt spid="_x0000_s28818"/>
                </a:ext>
                <a:ext uri="{FF2B5EF4-FFF2-40B4-BE49-F238E27FC236}">
                  <a16:creationId xmlns:a16="http://schemas.microsoft.com/office/drawing/2014/main" id="{00000000-0008-0000-0000-00009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Злоумышленные действия третьих лиц, за исключением случаев кражи с незаконным проникновением, грабежа и разбоя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72</xdr:row>
          <xdr:rowOff>1143000</xdr:rowOff>
        </xdr:from>
        <xdr:to>
          <xdr:col>5</xdr:col>
          <xdr:colOff>209550</xdr:colOff>
          <xdr:row>72</xdr:row>
          <xdr:rowOff>1362075</xdr:rowOff>
        </xdr:to>
        <xdr:sp macro="" textlink="">
          <xdr:nvSpPr>
            <xdr:cNvPr id="28819" name="Check Box 147" descr="Кража с незаконным проникновением, грабеж, разбой" hidden="1">
              <a:extLst>
                <a:ext uri="{63B3BB69-23CF-44E3-9099-C40C66FF867C}">
                  <a14:compatExt spid="_x0000_s28819"/>
                </a:ext>
                <a:ext uri="{FF2B5EF4-FFF2-40B4-BE49-F238E27FC236}">
                  <a16:creationId xmlns:a16="http://schemas.microsoft.com/office/drawing/2014/main" id="{00000000-0008-0000-0000-00009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Кража с незаконным проникновением, грабеж, разбой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72</xdr:row>
          <xdr:rowOff>1304925</xdr:rowOff>
        </xdr:from>
        <xdr:to>
          <xdr:col>4</xdr:col>
          <xdr:colOff>180975</xdr:colOff>
          <xdr:row>72</xdr:row>
          <xdr:rowOff>1524000</xdr:rowOff>
        </xdr:to>
        <xdr:sp macro="" textlink="">
          <xdr:nvSpPr>
            <xdr:cNvPr id="28820" name="Check Box 148" hidden="1">
              <a:extLst>
                <a:ext uri="{63B3BB69-23CF-44E3-9099-C40C66FF867C}">
                  <a14:compatExt spid="_x0000_s28820"/>
                </a:ext>
                <a:ext uri="{FF2B5EF4-FFF2-40B4-BE49-F238E27FC236}">
                  <a16:creationId xmlns:a16="http://schemas.microsoft.com/office/drawing/2014/main" id="{00000000-0008-0000-0000-00009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Наезд наземных транспортных средств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72</xdr:row>
          <xdr:rowOff>1466850</xdr:rowOff>
        </xdr:from>
        <xdr:to>
          <xdr:col>7</xdr:col>
          <xdr:colOff>542925</xdr:colOff>
          <xdr:row>72</xdr:row>
          <xdr:rowOff>1685925</xdr:rowOff>
        </xdr:to>
        <xdr:sp macro="" textlink="">
          <xdr:nvSpPr>
            <xdr:cNvPr id="28821" name="Check Box 149" descr="Падение на застрахованное имущество пилотируемых летающих объектов или их обломков" hidden="1">
              <a:extLst>
                <a:ext uri="{63B3BB69-23CF-44E3-9099-C40C66FF867C}">
                  <a14:compatExt spid="_x0000_s28821"/>
                </a:ext>
                <a:ext uri="{FF2B5EF4-FFF2-40B4-BE49-F238E27FC236}">
                  <a16:creationId xmlns:a16="http://schemas.microsoft.com/office/drawing/2014/main" id="{00000000-0008-0000-0000-00009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Падение на застрахованное имущество летательных аппаратов или их обломков</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72</xdr:row>
          <xdr:rowOff>1628775</xdr:rowOff>
        </xdr:from>
        <xdr:to>
          <xdr:col>4</xdr:col>
          <xdr:colOff>95250</xdr:colOff>
          <xdr:row>73</xdr:row>
          <xdr:rowOff>9525</xdr:rowOff>
        </xdr:to>
        <xdr:sp macro="" textlink="">
          <xdr:nvSpPr>
            <xdr:cNvPr id="28822" name="Check Box 150" descr="Бой оконных стекол, зеркал и витрин" hidden="1">
              <a:extLst>
                <a:ext uri="{63B3BB69-23CF-44E3-9099-C40C66FF867C}">
                  <a14:compatExt spid="_x0000_s28822"/>
                </a:ext>
                <a:ext uri="{FF2B5EF4-FFF2-40B4-BE49-F238E27FC236}">
                  <a16:creationId xmlns:a16="http://schemas.microsoft.com/office/drawing/2014/main" id="{00000000-0008-0000-0000-00009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Бой оконных стекол, зеркал и витрин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72</xdr:row>
          <xdr:rowOff>9525</xdr:rowOff>
        </xdr:from>
        <xdr:to>
          <xdr:col>6</xdr:col>
          <xdr:colOff>533400</xdr:colOff>
          <xdr:row>72</xdr:row>
          <xdr:rowOff>219075</xdr:rowOff>
        </xdr:to>
        <xdr:sp macro="" textlink="">
          <xdr:nvSpPr>
            <xdr:cNvPr id="28824" name="Option Button 152" hidden="1">
              <a:extLst>
                <a:ext uri="{63B3BB69-23CF-44E3-9099-C40C66FF867C}">
                  <a14:compatExt spid="_x0000_s28824"/>
                </a:ext>
                <a:ext uri="{FF2B5EF4-FFF2-40B4-BE49-F238E27FC236}">
                  <a16:creationId xmlns:a16="http://schemas.microsoft.com/office/drawing/2014/main" id="{00000000-0008-0000-0000-00009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Страхование от поименованных рисков (отметьте галочкой необходимые риски):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73</xdr:row>
          <xdr:rowOff>142875</xdr:rowOff>
        </xdr:from>
        <xdr:to>
          <xdr:col>7</xdr:col>
          <xdr:colOff>200025</xdr:colOff>
          <xdr:row>73</xdr:row>
          <xdr:rowOff>371475</xdr:rowOff>
        </xdr:to>
        <xdr:sp macro="" textlink="">
          <xdr:nvSpPr>
            <xdr:cNvPr id="28825" name="Option Button 153" hidden="1">
              <a:extLst>
                <a:ext uri="{63B3BB69-23CF-44E3-9099-C40C66FF867C}">
                  <a14:compatExt spid="_x0000_s28825"/>
                </a:ext>
                <a:ext uri="{FF2B5EF4-FFF2-40B4-BE49-F238E27FC236}">
                  <a16:creationId xmlns:a16="http://schemas.microsoft.com/office/drawing/2014/main" id="{00000000-0008-0000-0000-00009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Страхование «от всех рисков»</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127</xdr:row>
          <xdr:rowOff>28575</xdr:rowOff>
        </xdr:from>
        <xdr:to>
          <xdr:col>10</xdr:col>
          <xdr:colOff>485775</xdr:colOff>
          <xdr:row>127</xdr:row>
          <xdr:rowOff>161925</xdr:rowOff>
        </xdr:to>
        <xdr:sp macro="" textlink="">
          <xdr:nvSpPr>
            <xdr:cNvPr id="28827" name="Check Box 155" hidden="1">
              <a:extLst>
                <a:ext uri="{63B3BB69-23CF-44E3-9099-C40C66FF867C}">
                  <a14:compatExt spid="_x0000_s28827"/>
                </a:ext>
                <a:ext uri="{FF2B5EF4-FFF2-40B4-BE49-F238E27FC236}">
                  <a16:creationId xmlns:a16="http://schemas.microsoft.com/office/drawing/2014/main" id="{00000000-0008-0000-0000-00009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128</xdr:row>
          <xdr:rowOff>38100</xdr:rowOff>
        </xdr:from>
        <xdr:to>
          <xdr:col>10</xdr:col>
          <xdr:colOff>485775</xdr:colOff>
          <xdr:row>128</xdr:row>
          <xdr:rowOff>171450</xdr:rowOff>
        </xdr:to>
        <xdr:sp macro="" textlink="">
          <xdr:nvSpPr>
            <xdr:cNvPr id="28828" name="Check Box 156" hidden="1">
              <a:extLst>
                <a:ext uri="{63B3BB69-23CF-44E3-9099-C40C66FF867C}">
                  <a14:compatExt spid="_x0000_s28828"/>
                </a:ext>
                <a:ext uri="{FF2B5EF4-FFF2-40B4-BE49-F238E27FC236}">
                  <a16:creationId xmlns:a16="http://schemas.microsoft.com/office/drawing/2014/main" id="{00000000-0008-0000-0000-00009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130</xdr:row>
          <xdr:rowOff>38100</xdr:rowOff>
        </xdr:from>
        <xdr:to>
          <xdr:col>10</xdr:col>
          <xdr:colOff>485775</xdr:colOff>
          <xdr:row>130</xdr:row>
          <xdr:rowOff>161925</xdr:rowOff>
        </xdr:to>
        <xdr:sp macro="" textlink="">
          <xdr:nvSpPr>
            <xdr:cNvPr id="28830" name="Check Box 158" hidden="1">
              <a:extLst>
                <a:ext uri="{63B3BB69-23CF-44E3-9099-C40C66FF867C}">
                  <a14:compatExt spid="_x0000_s28830"/>
                </a:ext>
                <a:ext uri="{FF2B5EF4-FFF2-40B4-BE49-F238E27FC236}">
                  <a16:creationId xmlns:a16="http://schemas.microsoft.com/office/drawing/2014/main" id="{00000000-0008-0000-0000-00009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131</xdr:row>
          <xdr:rowOff>47625</xdr:rowOff>
        </xdr:from>
        <xdr:to>
          <xdr:col>10</xdr:col>
          <xdr:colOff>495300</xdr:colOff>
          <xdr:row>131</xdr:row>
          <xdr:rowOff>161925</xdr:rowOff>
        </xdr:to>
        <xdr:sp macro="" textlink="">
          <xdr:nvSpPr>
            <xdr:cNvPr id="28831" name="Check Box 159" hidden="1">
              <a:extLst>
                <a:ext uri="{63B3BB69-23CF-44E3-9099-C40C66FF867C}">
                  <a14:compatExt spid="_x0000_s28831"/>
                </a:ext>
                <a:ext uri="{FF2B5EF4-FFF2-40B4-BE49-F238E27FC236}">
                  <a16:creationId xmlns:a16="http://schemas.microsoft.com/office/drawing/2014/main" id="{00000000-0008-0000-0000-00009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132</xdr:row>
          <xdr:rowOff>38100</xdr:rowOff>
        </xdr:from>
        <xdr:to>
          <xdr:col>10</xdr:col>
          <xdr:colOff>495300</xdr:colOff>
          <xdr:row>132</xdr:row>
          <xdr:rowOff>161925</xdr:rowOff>
        </xdr:to>
        <xdr:sp macro="" textlink="">
          <xdr:nvSpPr>
            <xdr:cNvPr id="28832" name="Check Box 160" hidden="1">
              <a:extLst>
                <a:ext uri="{63B3BB69-23CF-44E3-9099-C40C66FF867C}">
                  <a14:compatExt spid="_x0000_s28832"/>
                </a:ext>
                <a:ext uri="{FF2B5EF4-FFF2-40B4-BE49-F238E27FC236}">
                  <a16:creationId xmlns:a16="http://schemas.microsoft.com/office/drawing/2014/main" id="{00000000-0008-0000-0000-0000A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190500</xdr:rowOff>
        </xdr:from>
        <xdr:to>
          <xdr:col>6</xdr:col>
          <xdr:colOff>0</xdr:colOff>
          <xdr:row>38</xdr:row>
          <xdr:rowOff>0</xdr:rowOff>
        </xdr:to>
        <xdr:sp macro="" textlink="">
          <xdr:nvSpPr>
            <xdr:cNvPr id="28833" name="Group Box 161" hidden="1">
              <a:extLst>
                <a:ext uri="{63B3BB69-23CF-44E3-9099-C40C66FF867C}">
                  <a14:compatExt spid="_x0000_s28833"/>
                </a:ext>
                <a:ext uri="{FF2B5EF4-FFF2-40B4-BE49-F238E27FC236}">
                  <a16:creationId xmlns:a16="http://schemas.microsoft.com/office/drawing/2014/main" id="{00000000-0008-0000-0000-0000A1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11</xdr:col>
          <xdr:colOff>0</xdr:colOff>
          <xdr:row>41</xdr:row>
          <xdr:rowOff>0</xdr:rowOff>
        </xdr:to>
        <xdr:sp macro="" textlink="">
          <xdr:nvSpPr>
            <xdr:cNvPr id="28834" name="Group Box 162" hidden="1">
              <a:extLst>
                <a:ext uri="{63B3BB69-23CF-44E3-9099-C40C66FF867C}">
                  <a14:compatExt spid="_x0000_s28834"/>
                </a:ext>
                <a:ext uri="{FF2B5EF4-FFF2-40B4-BE49-F238E27FC236}">
                  <a16:creationId xmlns:a16="http://schemas.microsoft.com/office/drawing/2014/main" id="{00000000-0008-0000-0000-0000A2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41</xdr:row>
          <xdr:rowOff>0</xdr:rowOff>
        </xdr:from>
        <xdr:to>
          <xdr:col>11</xdr:col>
          <xdr:colOff>0</xdr:colOff>
          <xdr:row>42</xdr:row>
          <xdr:rowOff>0</xdr:rowOff>
        </xdr:to>
        <xdr:sp macro="" textlink="">
          <xdr:nvSpPr>
            <xdr:cNvPr id="28835" name="Group Box 163" hidden="1">
              <a:extLst>
                <a:ext uri="{63B3BB69-23CF-44E3-9099-C40C66FF867C}">
                  <a14:compatExt spid="_x0000_s28835"/>
                </a:ext>
                <a:ext uri="{FF2B5EF4-FFF2-40B4-BE49-F238E27FC236}">
                  <a16:creationId xmlns:a16="http://schemas.microsoft.com/office/drawing/2014/main" id="{00000000-0008-0000-0000-0000A3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190500</xdr:rowOff>
        </xdr:from>
        <xdr:to>
          <xdr:col>11</xdr:col>
          <xdr:colOff>0</xdr:colOff>
          <xdr:row>74</xdr:row>
          <xdr:rowOff>0</xdr:rowOff>
        </xdr:to>
        <xdr:sp macro="" textlink="">
          <xdr:nvSpPr>
            <xdr:cNvPr id="28837" name="Group Box 165" hidden="1">
              <a:extLst>
                <a:ext uri="{63B3BB69-23CF-44E3-9099-C40C66FF867C}">
                  <a14:compatExt spid="_x0000_s28837"/>
                </a:ext>
                <a:ext uri="{FF2B5EF4-FFF2-40B4-BE49-F238E27FC236}">
                  <a16:creationId xmlns:a16="http://schemas.microsoft.com/office/drawing/2014/main" id="{00000000-0008-0000-0000-0000A5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190500</xdr:rowOff>
        </xdr:from>
        <xdr:to>
          <xdr:col>11</xdr:col>
          <xdr:colOff>0</xdr:colOff>
          <xdr:row>80</xdr:row>
          <xdr:rowOff>0</xdr:rowOff>
        </xdr:to>
        <xdr:sp macro="" textlink="">
          <xdr:nvSpPr>
            <xdr:cNvPr id="28838" name="Group Box 166" hidden="1">
              <a:extLst>
                <a:ext uri="{63B3BB69-23CF-44E3-9099-C40C66FF867C}">
                  <a14:compatExt spid="_x0000_s28838"/>
                </a:ext>
                <a:ext uri="{FF2B5EF4-FFF2-40B4-BE49-F238E27FC236}">
                  <a16:creationId xmlns:a16="http://schemas.microsoft.com/office/drawing/2014/main" id="{00000000-0008-0000-0000-0000A6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714375</xdr:colOff>
          <xdr:row>81</xdr:row>
          <xdr:rowOff>190500</xdr:rowOff>
        </xdr:from>
        <xdr:to>
          <xdr:col>11</xdr:col>
          <xdr:colOff>0</xdr:colOff>
          <xdr:row>83</xdr:row>
          <xdr:rowOff>0</xdr:rowOff>
        </xdr:to>
        <xdr:sp macro="" textlink="">
          <xdr:nvSpPr>
            <xdr:cNvPr id="28839" name="Group Box 167" hidden="1">
              <a:extLst>
                <a:ext uri="{63B3BB69-23CF-44E3-9099-C40C66FF867C}">
                  <a14:compatExt spid="_x0000_s28839"/>
                </a:ext>
                <a:ext uri="{FF2B5EF4-FFF2-40B4-BE49-F238E27FC236}">
                  <a16:creationId xmlns:a16="http://schemas.microsoft.com/office/drawing/2014/main" id="{00000000-0008-0000-0000-0000A7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447675</xdr:colOff>
          <xdr:row>84</xdr:row>
          <xdr:rowOff>0</xdr:rowOff>
        </xdr:from>
        <xdr:to>
          <xdr:col>3</xdr:col>
          <xdr:colOff>0</xdr:colOff>
          <xdr:row>85</xdr:row>
          <xdr:rowOff>0</xdr:rowOff>
        </xdr:to>
        <xdr:sp macro="" textlink="">
          <xdr:nvSpPr>
            <xdr:cNvPr id="28840" name="Group Box 168" hidden="1">
              <a:extLst>
                <a:ext uri="{63B3BB69-23CF-44E3-9099-C40C66FF867C}">
                  <a14:compatExt spid="_x0000_s28840"/>
                </a:ext>
                <a:ext uri="{FF2B5EF4-FFF2-40B4-BE49-F238E27FC236}">
                  <a16:creationId xmlns:a16="http://schemas.microsoft.com/office/drawing/2014/main" id="{00000000-0008-0000-0000-0000A8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447675</xdr:colOff>
          <xdr:row>86</xdr:row>
          <xdr:rowOff>0</xdr:rowOff>
        </xdr:from>
        <xdr:to>
          <xdr:col>3</xdr:col>
          <xdr:colOff>0</xdr:colOff>
          <xdr:row>87</xdr:row>
          <xdr:rowOff>0</xdr:rowOff>
        </xdr:to>
        <xdr:sp macro="" textlink="">
          <xdr:nvSpPr>
            <xdr:cNvPr id="28841" name="Group Box 169" hidden="1">
              <a:extLst>
                <a:ext uri="{63B3BB69-23CF-44E3-9099-C40C66FF867C}">
                  <a14:compatExt spid="_x0000_s28841"/>
                </a:ext>
                <a:ext uri="{FF2B5EF4-FFF2-40B4-BE49-F238E27FC236}">
                  <a16:creationId xmlns:a16="http://schemas.microsoft.com/office/drawing/2014/main" id="{00000000-0008-0000-0000-0000A9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714375</xdr:colOff>
          <xdr:row>86</xdr:row>
          <xdr:rowOff>504825</xdr:rowOff>
        </xdr:from>
        <xdr:to>
          <xdr:col>11</xdr:col>
          <xdr:colOff>0</xdr:colOff>
          <xdr:row>88</xdr:row>
          <xdr:rowOff>0</xdr:rowOff>
        </xdr:to>
        <xdr:sp macro="" textlink="">
          <xdr:nvSpPr>
            <xdr:cNvPr id="28842" name="Group Box 170" hidden="1">
              <a:extLst>
                <a:ext uri="{63B3BB69-23CF-44E3-9099-C40C66FF867C}">
                  <a14:compatExt spid="_x0000_s28842"/>
                </a:ext>
                <a:ext uri="{FF2B5EF4-FFF2-40B4-BE49-F238E27FC236}">
                  <a16:creationId xmlns:a16="http://schemas.microsoft.com/office/drawing/2014/main" id="{00000000-0008-0000-0000-0000AA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190500</xdr:rowOff>
        </xdr:from>
        <xdr:to>
          <xdr:col>11</xdr:col>
          <xdr:colOff>0</xdr:colOff>
          <xdr:row>91</xdr:row>
          <xdr:rowOff>0</xdr:rowOff>
        </xdr:to>
        <xdr:sp macro="" textlink="">
          <xdr:nvSpPr>
            <xdr:cNvPr id="28843" name="Group Box 171" hidden="1">
              <a:extLst>
                <a:ext uri="{63B3BB69-23CF-44E3-9099-C40C66FF867C}">
                  <a14:compatExt spid="_x0000_s28843"/>
                </a:ext>
                <a:ext uri="{FF2B5EF4-FFF2-40B4-BE49-F238E27FC236}">
                  <a16:creationId xmlns:a16="http://schemas.microsoft.com/office/drawing/2014/main" id="{00000000-0008-0000-0000-0000AB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90</xdr:row>
          <xdr:rowOff>190500</xdr:rowOff>
        </xdr:from>
        <xdr:to>
          <xdr:col>11</xdr:col>
          <xdr:colOff>0</xdr:colOff>
          <xdr:row>93</xdr:row>
          <xdr:rowOff>0</xdr:rowOff>
        </xdr:to>
        <xdr:sp macro="" textlink="">
          <xdr:nvSpPr>
            <xdr:cNvPr id="28844" name="Group Box 172" hidden="1">
              <a:extLst>
                <a:ext uri="{63B3BB69-23CF-44E3-9099-C40C66FF867C}">
                  <a14:compatExt spid="_x0000_s28844"/>
                </a:ext>
                <a:ext uri="{FF2B5EF4-FFF2-40B4-BE49-F238E27FC236}">
                  <a16:creationId xmlns:a16="http://schemas.microsoft.com/office/drawing/2014/main" id="{00000000-0008-0000-0000-0000AC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93</xdr:row>
          <xdr:rowOff>0</xdr:rowOff>
        </xdr:from>
        <xdr:to>
          <xdr:col>11</xdr:col>
          <xdr:colOff>0</xdr:colOff>
          <xdr:row>95</xdr:row>
          <xdr:rowOff>0</xdr:rowOff>
        </xdr:to>
        <xdr:sp macro="" textlink="">
          <xdr:nvSpPr>
            <xdr:cNvPr id="28845" name="Group Box 173" hidden="1">
              <a:extLst>
                <a:ext uri="{63B3BB69-23CF-44E3-9099-C40C66FF867C}">
                  <a14:compatExt spid="_x0000_s28845"/>
                </a:ext>
                <a:ext uri="{FF2B5EF4-FFF2-40B4-BE49-F238E27FC236}">
                  <a16:creationId xmlns:a16="http://schemas.microsoft.com/office/drawing/2014/main" id="{00000000-0008-0000-0000-0000AD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714375</xdr:colOff>
          <xdr:row>94</xdr:row>
          <xdr:rowOff>190500</xdr:rowOff>
        </xdr:from>
        <xdr:to>
          <xdr:col>11</xdr:col>
          <xdr:colOff>0</xdr:colOff>
          <xdr:row>96</xdr:row>
          <xdr:rowOff>0</xdr:rowOff>
        </xdr:to>
        <xdr:sp macro="" textlink="">
          <xdr:nvSpPr>
            <xdr:cNvPr id="28846" name="Group Box 174" hidden="1">
              <a:extLst>
                <a:ext uri="{63B3BB69-23CF-44E3-9099-C40C66FF867C}">
                  <a14:compatExt spid="_x0000_s28846"/>
                </a:ext>
                <a:ext uri="{FF2B5EF4-FFF2-40B4-BE49-F238E27FC236}">
                  <a16:creationId xmlns:a16="http://schemas.microsoft.com/office/drawing/2014/main" id="{00000000-0008-0000-0000-0000AE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714375</xdr:colOff>
          <xdr:row>95</xdr:row>
          <xdr:rowOff>190500</xdr:rowOff>
        </xdr:from>
        <xdr:to>
          <xdr:col>11</xdr:col>
          <xdr:colOff>0</xdr:colOff>
          <xdr:row>97</xdr:row>
          <xdr:rowOff>0</xdr:rowOff>
        </xdr:to>
        <xdr:sp macro="" textlink="">
          <xdr:nvSpPr>
            <xdr:cNvPr id="28847" name="Group Box 175" hidden="1">
              <a:extLst>
                <a:ext uri="{63B3BB69-23CF-44E3-9099-C40C66FF867C}">
                  <a14:compatExt spid="_x0000_s28847"/>
                </a:ext>
                <a:ext uri="{FF2B5EF4-FFF2-40B4-BE49-F238E27FC236}">
                  <a16:creationId xmlns:a16="http://schemas.microsoft.com/office/drawing/2014/main" id="{00000000-0008-0000-0000-0000AF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714375</xdr:colOff>
          <xdr:row>97</xdr:row>
          <xdr:rowOff>190500</xdr:rowOff>
        </xdr:from>
        <xdr:to>
          <xdr:col>11</xdr:col>
          <xdr:colOff>0</xdr:colOff>
          <xdr:row>99</xdr:row>
          <xdr:rowOff>0</xdr:rowOff>
        </xdr:to>
        <xdr:sp macro="" textlink="">
          <xdr:nvSpPr>
            <xdr:cNvPr id="28848" name="Group Box 176" hidden="1">
              <a:extLst>
                <a:ext uri="{63B3BB69-23CF-44E3-9099-C40C66FF867C}">
                  <a14:compatExt spid="_x0000_s28848"/>
                </a:ext>
                <a:ext uri="{FF2B5EF4-FFF2-40B4-BE49-F238E27FC236}">
                  <a16:creationId xmlns:a16="http://schemas.microsoft.com/office/drawing/2014/main" id="{00000000-0008-0000-0000-0000B0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571500</xdr:rowOff>
        </xdr:from>
        <xdr:to>
          <xdr:col>11</xdr:col>
          <xdr:colOff>0</xdr:colOff>
          <xdr:row>100</xdr:row>
          <xdr:rowOff>0</xdr:rowOff>
        </xdr:to>
        <xdr:sp macro="" textlink="">
          <xdr:nvSpPr>
            <xdr:cNvPr id="28849" name="Group Box 177" hidden="1">
              <a:extLst>
                <a:ext uri="{63B3BB69-23CF-44E3-9099-C40C66FF867C}">
                  <a14:compatExt spid="_x0000_s28849"/>
                </a:ext>
                <a:ext uri="{FF2B5EF4-FFF2-40B4-BE49-F238E27FC236}">
                  <a16:creationId xmlns:a16="http://schemas.microsoft.com/office/drawing/2014/main" id="{00000000-0008-0000-0000-0000B1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100</xdr:row>
          <xdr:rowOff>0</xdr:rowOff>
        </xdr:from>
        <xdr:to>
          <xdr:col>11</xdr:col>
          <xdr:colOff>0</xdr:colOff>
          <xdr:row>101</xdr:row>
          <xdr:rowOff>0</xdr:rowOff>
        </xdr:to>
        <xdr:sp macro="" textlink="">
          <xdr:nvSpPr>
            <xdr:cNvPr id="28850" name="Group Box 178" hidden="1">
              <a:extLst>
                <a:ext uri="{63B3BB69-23CF-44E3-9099-C40C66FF867C}">
                  <a14:compatExt spid="_x0000_s28850"/>
                </a:ext>
                <a:ext uri="{FF2B5EF4-FFF2-40B4-BE49-F238E27FC236}">
                  <a16:creationId xmlns:a16="http://schemas.microsoft.com/office/drawing/2014/main" id="{00000000-0008-0000-0000-0000B2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101</xdr:row>
          <xdr:rowOff>0</xdr:rowOff>
        </xdr:from>
        <xdr:to>
          <xdr:col>11</xdr:col>
          <xdr:colOff>0</xdr:colOff>
          <xdr:row>102</xdr:row>
          <xdr:rowOff>0</xdr:rowOff>
        </xdr:to>
        <xdr:sp macro="" textlink="">
          <xdr:nvSpPr>
            <xdr:cNvPr id="28851" name="Group Box 179" hidden="1">
              <a:extLst>
                <a:ext uri="{63B3BB69-23CF-44E3-9099-C40C66FF867C}">
                  <a14:compatExt spid="_x0000_s28851"/>
                </a:ext>
                <a:ext uri="{FF2B5EF4-FFF2-40B4-BE49-F238E27FC236}">
                  <a16:creationId xmlns:a16="http://schemas.microsoft.com/office/drawing/2014/main" id="{00000000-0008-0000-0000-0000B3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102</xdr:row>
          <xdr:rowOff>0</xdr:rowOff>
        </xdr:from>
        <xdr:to>
          <xdr:col>11</xdr:col>
          <xdr:colOff>0</xdr:colOff>
          <xdr:row>103</xdr:row>
          <xdr:rowOff>0</xdr:rowOff>
        </xdr:to>
        <xdr:sp macro="" textlink="">
          <xdr:nvSpPr>
            <xdr:cNvPr id="28852" name="Group Box 180" hidden="1">
              <a:extLst>
                <a:ext uri="{63B3BB69-23CF-44E3-9099-C40C66FF867C}">
                  <a14:compatExt spid="_x0000_s28852"/>
                </a:ext>
                <a:ext uri="{FF2B5EF4-FFF2-40B4-BE49-F238E27FC236}">
                  <a16:creationId xmlns:a16="http://schemas.microsoft.com/office/drawing/2014/main" id="{00000000-0008-0000-0000-0000B4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102</xdr:row>
          <xdr:rowOff>190500</xdr:rowOff>
        </xdr:from>
        <xdr:to>
          <xdr:col>11</xdr:col>
          <xdr:colOff>0</xdr:colOff>
          <xdr:row>104</xdr:row>
          <xdr:rowOff>0</xdr:rowOff>
        </xdr:to>
        <xdr:sp macro="" textlink="">
          <xdr:nvSpPr>
            <xdr:cNvPr id="28853" name="Group Box 181" hidden="1">
              <a:extLst>
                <a:ext uri="{63B3BB69-23CF-44E3-9099-C40C66FF867C}">
                  <a14:compatExt spid="_x0000_s28853"/>
                </a:ext>
                <a:ext uri="{FF2B5EF4-FFF2-40B4-BE49-F238E27FC236}">
                  <a16:creationId xmlns:a16="http://schemas.microsoft.com/office/drawing/2014/main" id="{00000000-0008-0000-0000-0000B5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714375</xdr:colOff>
          <xdr:row>103</xdr:row>
          <xdr:rowOff>381000</xdr:rowOff>
        </xdr:from>
        <xdr:to>
          <xdr:col>11</xdr:col>
          <xdr:colOff>0</xdr:colOff>
          <xdr:row>105</xdr:row>
          <xdr:rowOff>0</xdr:rowOff>
        </xdr:to>
        <xdr:sp macro="" textlink="">
          <xdr:nvSpPr>
            <xdr:cNvPr id="28854" name="Group Box 182" hidden="1">
              <a:extLst>
                <a:ext uri="{63B3BB69-23CF-44E3-9099-C40C66FF867C}">
                  <a14:compatExt spid="_x0000_s28854"/>
                </a:ext>
                <a:ext uri="{FF2B5EF4-FFF2-40B4-BE49-F238E27FC236}">
                  <a16:creationId xmlns:a16="http://schemas.microsoft.com/office/drawing/2014/main" id="{00000000-0008-0000-0000-0000B6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714375</xdr:colOff>
          <xdr:row>105</xdr:row>
          <xdr:rowOff>190500</xdr:rowOff>
        </xdr:from>
        <xdr:to>
          <xdr:col>11</xdr:col>
          <xdr:colOff>0</xdr:colOff>
          <xdr:row>107</xdr:row>
          <xdr:rowOff>0</xdr:rowOff>
        </xdr:to>
        <xdr:sp macro="" textlink="">
          <xdr:nvSpPr>
            <xdr:cNvPr id="28855" name="Group Box 183" hidden="1">
              <a:extLst>
                <a:ext uri="{63B3BB69-23CF-44E3-9099-C40C66FF867C}">
                  <a14:compatExt spid="_x0000_s28855"/>
                </a:ext>
                <a:ext uri="{FF2B5EF4-FFF2-40B4-BE49-F238E27FC236}">
                  <a16:creationId xmlns:a16="http://schemas.microsoft.com/office/drawing/2014/main" id="{00000000-0008-0000-0000-0000B7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107</xdr:row>
          <xdr:rowOff>0</xdr:rowOff>
        </xdr:from>
        <xdr:to>
          <xdr:col>11</xdr:col>
          <xdr:colOff>0</xdr:colOff>
          <xdr:row>108</xdr:row>
          <xdr:rowOff>0</xdr:rowOff>
        </xdr:to>
        <xdr:sp macro="" textlink="">
          <xdr:nvSpPr>
            <xdr:cNvPr id="28856" name="Group Box 184" hidden="1">
              <a:extLst>
                <a:ext uri="{63B3BB69-23CF-44E3-9099-C40C66FF867C}">
                  <a14:compatExt spid="_x0000_s28856"/>
                </a:ext>
                <a:ext uri="{FF2B5EF4-FFF2-40B4-BE49-F238E27FC236}">
                  <a16:creationId xmlns:a16="http://schemas.microsoft.com/office/drawing/2014/main" id="{00000000-0008-0000-0000-0000B8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108</xdr:row>
          <xdr:rowOff>0</xdr:rowOff>
        </xdr:from>
        <xdr:to>
          <xdr:col>11</xdr:col>
          <xdr:colOff>0</xdr:colOff>
          <xdr:row>109</xdr:row>
          <xdr:rowOff>0</xdr:rowOff>
        </xdr:to>
        <xdr:sp macro="" textlink="">
          <xdr:nvSpPr>
            <xdr:cNvPr id="28857" name="Group Box 185" hidden="1">
              <a:extLst>
                <a:ext uri="{63B3BB69-23CF-44E3-9099-C40C66FF867C}">
                  <a14:compatExt spid="_x0000_s28857"/>
                </a:ext>
                <a:ext uri="{FF2B5EF4-FFF2-40B4-BE49-F238E27FC236}">
                  <a16:creationId xmlns:a16="http://schemas.microsoft.com/office/drawing/2014/main" id="{00000000-0008-0000-0000-0000B9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714375</xdr:colOff>
          <xdr:row>109</xdr:row>
          <xdr:rowOff>0</xdr:rowOff>
        </xdr:from>
        <xdr:to>
          <xdr:col>11</xdr:col>
          <xdr:colOff>0</xdr:colOff>
          <xdr:row>110</xdr:row>
          <xdr:rowOff>0</xdr:rowOff>
        </xdr:to>
        <xdr:sp macro="" textlink="">
          <xdr:nvSpPr>
            <xdr:cNvPr id="28858" name="Group Box 186" hidden="1">
              <a:extLst>
                <a:ext uri="{63B3BB69-23CF-44E3-9099-C40C66FF867C}">
                  <a14:compatExt spid="_x0000_s28858"/>
                </a:ext>
                <a:ext uri="{FF2B5EF4-FFF2-40B4-BE49-F238E27FC236}">
                  <a16:creationId xmlns:a16="http://schemas.microsoft.com/office/drawing/2014/main" id="{00000000-0008-0000-0000-0000BA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111</xdr:row>
          <xdr:rowOff>0</xdr:rowOff>
        </xdr:from>
        <xdr:to>
          <xdr:col>11</xdr:col>
          <xdr:colOff>0</xdr:colOff>
          <xdr:row>112</xdr:row>
          <xdr:rowOff>0</xdr:rowOff>
        </xdr:to>
        <xdr:sp macro="" textlink="">
          <xdr:nvSpPr>
            <xdr:cNvPr id="28859" name="Group Box 187" hidden="1">
              <a:extLst>
                <a:ext uri="{63B3BB69-23CF-44E3-9099-C40C66FF867C}">
                  <a14:compatExt spid="_x0000_s28859"/>
                </a:ext>
                <a:ext uri="{FF2B5EF4-FFF2-40B4-BE49-F238E27FC236}">
                  <a16:creationId xmlns:a16="http://schemas.microsoft.com/office/drawing/2014/main" id="{00000000-0008-0000-0000-0000BB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112</xdr:row>
          <xdr:rowOff>0</xdr:rowOff>
        </xdr:from>
        <xdr:to>
          <xdr:col>11</xdr:col>
          <xdr:colOff>0</xdr:colOff>
          <xdr:row>113</xdr:row>
          <xdr:rowOff>0</xdr:rowOff>
        </xdr:to>
        <xdr:sp macro="" textlink="">
          <xdr:nvSpPr>
            <xdr:cNvPr id="28860" name="Group Box 188" hidden="1">
              <a:extLst>
                <a:ext uri="{63B3BB69-23CF-44E3-9099-C40C66FF867C}">
                  <a14:compatExt spid="_x0000_s28860"/>
                </a:ext>
                <a:ext uri="{FF2B5EF4-FFF2-40B4-BE49-F238E27FC236}">
                  <a16:creationId xmlns:a16="http://schemas.microsoft.com/office/drawing/2014/main" id="{00000000-0008-0000-0000-0000BC7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none" lIns="18288" tIns="0" rIns="0" bIns="0" anchor="t" upright="1"/>
            <a:lstStyle/>
            <a:p>
              <a:pPr algn="l" rtl="0">
                <a:defRPr sz="1000"/>
              </a:pPr>
              <a:endParaRPr lang="ru-RU"/>
            </a:p>
          </xdr:txBody>
        </xdr:sp>
        <xdr:clientData/>
      </xdr:twoCellAnchor>
    </mc:Choice>
    <mc:Fallback/>
  </mc:AlternateContent>
  <xdr:twoCellAnchor editAs="oneCell">
    <xdr:from>
      <xdr:col>7</xdr:col>
      <xdr:colOff>323850</xdr:colOff>
      <xdr:row>0</xdr:row>
      <xdr:rowOff>47625</xdr:rowOff>
    </xdr:from>
    <xdr:to>
      <xdr:col>10</xdr:col>
      <xdr:colOff>708660</xdr:colOff>
      <xdr:row>0</xdr:row>
      <xdr:rowOff>638175</xdr:rowOff>
    </xdr:to>
    <xdr:pic>
      <xdr:nvPicPr>
        <xdr:cNvPr id="127" name="Рисунок 126" descr="\\filesrv\Departments catalog\Marketing\Archive\ОКиРК\Архив макетов\Концепция 2019\Логотип\INGOS_LOGO_blue.jpg">
          <a:extLst>
            <a:ext uri="{FF2B5EF4-FFF2-40B4-BE49-F238E27FC236}">
              <a16:creationId xmlns:a16="http://schemas.microsoft.com/office/drawing/2014/main" id="{00000000-0008-0000-0000-00007F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t="33591" b="33592"/>
        <a:stretch>
          <a:fillRect/>
        </a:stretch>
      </xdr:blipFill>
      <xdr:spPr>
        <a:xfrm>
          <a:off x="5057775" y="47625"/>
          <a:ext cx="2527935" cy="5905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5</xdr:row>
          <xdr:rowOff>76200</xdr:rowOff>
        </xdr:from>
        <xdr:to>
          <xdr:col>10</xdr:col>
          <xdr:colOff>666750</xdr:colOff>
          <xdr:row>5</xdr:row>
          <xdr:rowOff>276225</xdr:rowOff>
        </xdr:to>
        <xdr:sp macro="" textlink="">
          <xdr:nvSpPr>
            <xdr:cNvPr id="2052" name="Check Box 4" descr="Непредвиденные поломки или дефекты застрахованных предметов"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Дефекты или недостатки литья или материала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2676525</xdr:rowOff>
        </xdr:from>
        <xdr:to>
          <xdr:col>10</xdr:col>
          <xdr:colOff>676275</xdr:colOff>
          <xdr:row>5</xdr:row>
          <xdr:rowOff>2933700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Разрыв тросов и цепей, падение застрахованных предметов и удар их о другие предметы, попадание инородных тел</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914400</xdr:rowOff>
        </xdr:from>
        <xdr:to>
          <xdr:col>10</xdr:col>
          <xdr:colOff>676275</xdr:colOff>
          <xdr:row>5</xdr:row>
          <xdr:rowOff>1409700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Внезапные неисправности в работе, такие как вибрация, разладка, отсоединение деталей, усталость металла, центробежные силы, аномальная перегрузка, случайный недостаток смазки или недостаток смазки в результате неисправности, заклинивание, гидравлический удар или местный перегрев, недостаток воды в котлах, физический взрыв или имплозия, отказ или неисправность защитных устройств</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5</xdr:row>
          <xdr:rowOff>552450</xdr:rowOff>
        </xdr:from>
        <xdr:to>
          <xdr:col>10</xdr:col>
          <xdr:colOff>666750</xdr:colOff>
          <xdr:row>5</xdr:row>
          <xdr:rowOff>914400</xdr:rowOff>
        </xdr:to>
        <xdr:sp macro="" textlink="">
          <xdr:nvSpPr>
            <xdr:cNvPr id="2056" name="Check Box 8" descr="Кража с незаконным проникновением, грабеж, разбой"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Преждевременный износ, коррозия, эрозия, произошедшие вследствие ошибок / недостатков проектирования, конструирования, расчетов; дефектов литья или использованного материала; ошибок / недостатков изготовления, монтажа, наладки и ремонта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1400175</xdr:rowOff>
        </xdr:from>
        <xdr:to>
          <xdr:col>10</xdr:col>
          <xdr:colOff>504825</xdr:colOff>
          <xdr:row>5</xdr:row>
          <xdr:rowOff>1847850</xdr:rowOff>
        </xdr:to>
        <xdr:sp macro="" textlink="">
          <xdr:nvSpPr>
            <xdr:cNvPr id="2057" name="Check Box 9" descr="Воздействие электроэнергии в виде короткого замыкания, перегрузка электросети, падение напряжения, атмосферный разряд и др., включая ущерб от возникшего в результате этих явлений пожара, если ущерб причинен непосредственно тем предметам, в которых зародил"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Воздействие избыточного или недостаточного электрического напряжения, повреждение или пробой изоляции, короткое замыкание, размыкание цепей, образование электрической дуги или воздействие статического электричества, воздействие индуктированных токов и других аналогичных причин</a:t>
              </a:r>
            </a:p>
          </xdr:txBody>
        </xdr:sp>
        <xdr:clientData/>
      </xdr:twoCellAnchor>
    </mc:Choice>
    <mc:Fallback/>
  </mc:AlternateContent>
  <xdr:twoCellAnchor editAs="oneCell">
    <xdr:from>
      <xdr:col>1</xdr:col>
      <xdr:colOff>38100</xdr:colOff>
      <xdr:row>5</xdr:row>
      <xdr:rowOff>2657475</xdr:rowOff>
    </xdr:from>
    <xdr:to>
      <xdr:col>10</xdr:col>
      <xdr:colOff>676275</xdr:colOff>
      <xdr:row>5</xdr:row>
      <xdr:rowOff>2886075</xdr:rowOff>
    </xdr:to>
    <xdr:sp macro="" textlink="">
      <xdr:nvSpPr>
        <xdr:cNvPr id="2058" name="Check Box 10" hidden="1">
          <a:extLst>
            <a:ext uri="{FF2B5EF4-FFF2-40B4-BE49-F238E27FC236}">
              <a16:creationId xmlns:a16="http://schemas.microsoft.com/office/drawing/2014/main" id="{00000000-0008-0000-0100-00000A080000}"/>
            </a:ext>
          </a:extLst>
        </xdr:cNvPr>
        <xdr:cNvSpPr/>
      </xdr:nvSpPr>
      <xdr:spPr>
        <a:xfrm>
          <a:off x="485775" y="3930015"/>
          <a:ext cx="7067550" cy="228600"/>
        </a:xfrm>
        <a:prstGeom prst="rect">
          <a:avLst/>
        </a:prstGeom>
        <a:solidFill>
          <a:srgbClr xmlns:mc="http://schemas.openxmlformats.org/markup-compatibility/2006" xmlns:a14="http://schemas.microsoft.com/office/drawing/2010/main" val="FF8080" mc:Ignorable="a14" a14:legacySpreadsheetColorIndex="2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panose="020B0502040204020203"/>
              <a:cs typeface="Segoe UI" panose="020B0502040204020203"/>
            </a:rPr>
            <a:t>Внезапный и непредвиденный выход из строя системы кондиционирования воздуха</a:t>
          </a:r>
        </a:p>
      </xdr:txBody>
    </xdr:sp>
    <xdr:clientData/>
  </xdr:twoCellAnchor>
  <mc:AlternateContent xmlns:mc="http://schemas.openxmlformats.org/markup-compatibility/2006">
    <mc:Choice xmlns:a14="http://schemas.microsoft.com/office/drawing/2010/main" Requires="a14">
      <xdr:twoCellAnchor editAs="oneCell">
        <xdr:from>
          <xdr:col>1</xdr:col>
          <xdr:colOff>38100</xdr:colOff>
          <xdr:row>5</xdr:row>
          <xdr:rowOff>2219325</xdr:rowOff>
        </xdr:from>
        <xdr:to>
          <xdr:col>10</xdr:col>
          <xdr:colOff>676275</xdr:colOff>
          <xdr:row>5</xdr:row>
          <xdr:rowOff>2419350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Внезапное и непредвиденное отключение или прекращение снабжения газом, водой, электричеством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2905125</xdr:rowOff>
        </xdr:from>
        <xdr:to>
          <xdr:col>10</xdr:col>
          <xdr:colOff>676275</xdr:colOff>
          <xdr:row>5</xdr:row>
          <xdr:rowOff>3152775</xdr:rowOff>
        </xdr:to>
        <xdr:sp macro="" textlink="">
          <xdr:nvSpPr>
            <xdr:cNvPr id="2127" name="Check Box 79" hidden="1">
              <a:extLst>
                <a:ext uri="{63B3BB69-23CF-44E3-9099-C40C66FF867C}">
                  <a14:compatExt spid="_x0000_s2127"/>
                </a:ext>
                <a:ext uri="{FF2B5EF4-FFF2-40B4-BE49-F238E27FC236}">
                  <a16:creationId xmlns:a16="http://schemas.microsoft.com/office/drawing/2014/main" id="{00000000-0008-0000-0100-00004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Природные силы, нехарактерные для данной местности, воздействие необычно высоких или низких температур</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1857375</xdr:rowOff>
        </xdr:from>
        <xdr:to>
          <xdr:col>10</xdr:col>
          <xdr:colOff>676275</xdr:colOff>
          <xdr:row>5</xdr:row>
          <xdr:rowOff>2190750</xdr:rowOff>
        </xdr:to>
        <xdr:sp macro="" textlink="">
          <xdr:nvSpPr>
            <xdr:cNvPr id="2053" name="Check Box 5" descr="Ошибки или неосторожность персонала Страхователя или третьих лиц"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Ошибки, неосторожность, некомпетентность, небрежность, отсутствие квалификации или неосмотрительных действий работников Страхователя (Выгодоприобретателя) или третьих лиц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2457450</xdr:rowOff>
        </xdr:from>
        <xdr:to>
          <xdr:col>10</xdr:col>
          <xdr:colOff>676275</xdr:colOff>
          <xdr:row>5</xdr:row>
          <xdr:rowOff>2686050</xdr:rowOff>
        </xdr:to>
        <xdr:sp macro="" textlink="">
          <xdr:nvSpPr>
            <xdr:cNvPr id="2060" name="Check Box 10"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Внезапный и непредвиденный выход из строя системы кондиционирования воздуха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5</xdr:row>
          <xdr:rowOff>333375</xdr:rowOff>
        </xdr:from>
        <xdr:to>
          <xdr:col>10</xdr:col>
          <xdr:colOff>676275</xdr:colOff>
          <xdr:row>5</xdr:row>
          <xdr:rowOff>552450</xdr:rowOff>
        </xdr:to>
        <xdr:sp macro="" textlink="">
          <xdr:nvSpPr>
            <xdr:cNvPr id="2128" name="Check Box 80" descr="Кража с незаконным проникновением, грабеж, разбой" hidden="1">
              <a:extLst>
                <a:ext uri="{63B3BB69-23CF-44E3-9099-C40C66FF867C}">
                  <a14:compatExt spid="_x0000_s2128"/>
                </a:ext>
                <a:ext uri="{FF2B5EF4-FFF2-40B4-BE49-F238E27FC236}">
                  <a16:creationId xmlns:a16="http://schemas.microsoft.com/office/drawing/2014/main" id="{00000000-0008-0000-0100-00005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Ошибки или недостатки конструкции, проекта, изготовления, монтажа, сборки, ремонта</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16</xdr:row>
          <xdr:rowOff>28575</xdr:rowOff>
        </xdr:from>
        <xdr:to>
          <xdr:col>10</xdr:col>
          <xdr:colOff>685800</xdr:colOff>
          <xdr:row>16</xdr:row>
          <xdr:rowOff>533400</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200-00000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Прекращение или сокращение объемов предоставления услуг по снабжению Страхователя электричеством, газом, топливом, водой, паром, предоставления телекоммуникационных услуг или услуг по отводу сточных вод, вследствие случайной и непредвиденной утраты (гибели) или повреждения имущества поставщиков таких услуг, расположенного вне территории страхования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16</xdr:row>
          <xdr:rowOff>533400</xdr:rowOff>
        </xdr:from>
        <xdr:to>
          <xdr:col>10</xdr:col>
          <xdr:colOff>685800</xdr:colOff>
          <xdr:row>16</xdr:row>
          <xdr:rowOff>1009650</xdr:rowOff>
        </xdr:to>
        <xdr:sp macro="" textlink="">
          <xdr:nvSpPr>
            <xdr:cNvPr id="9237" name="Check Box 21" hidden="1">
              <a:extLst>
                <a:ext uri="{63B3BB69-23CF-44E3-9099-C40C66FF867C}">
                  <a14:compatExt spid="_x0000_s9237"/>
                </a:ext>
                <a:ext uri="{FF2B5EF4-FFF2-40B4-BE49-F238E27FC236}">
                  <a16:creationId xmlns:a16="http://schemas.microsoft.com/office/drawing/2014/main" id="{00000000-0008-0000-0200-00001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Прекращение или задержка в поставке и/или невозможность приемки сырья, полуфабрикатов, товаров или услуг, вследствие случайной и непредвиденной утраты (гибели) или повреждения имущества прямых поставщиков и/или потребителей, указанных в Приложении к настоящему заявлению, расположенного вне территории страхования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16</xdr:row>
          <xdr:rowOff>1019175</xdr:rowOff>
        </xdr:from>
        <xdr:to>
          <xdr:col>10</xdr:col>
          <xdr:colOff>685800</xdr:colOff>
          <xdr:row>16</xdr:row>
          <xdr:rowOff>1390650</xdr:rowOff>
        </xdr:to>
        <xdr:sp macro="" textlink="">
          <xdr:nvSpPr>
            <xdr:cNvPr id="9238" name="Check Box 22" descr="Убытки от перерыва в производственной (хозяйственной) деятельности Страхователя, вызванные невозможностью доступа к предприятию Страхователя/ выхода из предприятия Страхователя вследствие внезапных и непредвиденных воздействий извне" hidden="1">
              <a:extLst>
                <a:ext uri="{63B3BB69-23CF-44E3-9099-C40C66FF867C}">
                  <a14:compatExt spid="_x0000_s9238"/>
                </a:ext>
                <a:ext uri="{FF2B5EF4-FFF2-40B4-BE49-F238E27FC236}">
                  <a16:creationId xmlns:a16="http://schemas.microsoft.com/office/drawing/2014/main" id="{00000000-0008-0000-0200-00001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Ограничение доступа к входу/подъезду и выходу/выезду с территории страхования, вызванного физической невозможностью доступа к арендованному Страхователем и/или к собственному имуществу Страхователя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16</xdr:row>
          <xdr:rowOff>1409700</xdr:rowOff>
        </xdr:from>
        <xdr:to>
          <xdr:col>10</xdr:col>
          <xdr:colOff>685800</xdr:colOff>
          <xdr:row>16</xdr:row>
          <xdr:rowOff>1762125</xdr:rowOff>
        </xdr:to>
        <xdr:sp macro="" textlink="">
          <xdr:nvSpPr>
            <xdr:cNvPr id="9239" name="Check Box 23" hidden="1">
              <a:extLst>
                <a:ext uri="{63B3BB69-23CF-44E3-9099-C40C66FF867C}">
                  <a14:compatExt spid="_x0000_s9239"/>
                </a:ext>
                <a:ext uri="{FF2B5EF4-FFF2-40B4-BE49-F238E27FC236}">
                  <a16:creationId xmlns:a16="http://schemas.microsoft.com/office/drawing/2014/main" id="{00000000-0008-0000-0200-00001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Ограничение доступа к входу/подъезду и выходу/выезду с территории страхования (доступа к застрахованному имуществу), вызванного распоряжениями, постановлениями органов государственной власти</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5</xdr:row>
          <xdr:rowOff>28575</xdr:rowOff>
        </xdr:from>
        <xdr:to>
          <xdr:col>10</xdr:col>
          <xdr:colOff>628650</xdr:colOff>
          <xdr:row>5</xdr:row>
          <xdr:rowOff>247650</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300-000016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Ошибки в эксплуатации застрахованного имущества, неосторожность обслуживающего персонала или злоумышленные действия третьих лиц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238125</xdr:rowOff>
        </xdr:from>
        <xdr:to>
          <xdr:col>10</xdr:col>
          <xdr:colOff>123825</xdr:colOff>
          <xdr:row>5</xdr:row>
          <xdr:rowOff>447675</xdr:rowOff>
        </xdr:to>
        <xdr:sp macro="" textlink="">
          <xdr:nvSpPr>
            <xdr:cNvPr id="10263" name="Check Box 23" hidden="1">
              <a:extLst>
                <a:ext uri="{63B3BB69-23CF-44E3-9099-C40C66FF867C}">
                  <a14:compatExt spid="_x0000_s10263"/>
                </a:ext>
                <a:ext uri="{FF2B5EF4-FFF2-40B4-BE49-F238E27FC236}">
                  <a16:creationId xmlns:a16="http://schemas.microsoft.com/office/drawing/2014/main" id="{00000000-0008-0000-0300-000017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Воздействие электротока в форме короткого замыкания, резкое повышение силы тока или напряжения в электросети, воздействие индуктированных токов и других аналогичных причин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447675</xdr:rowOff>
        </xdr:from>
        <xdr:to>
          <xdr:col>8</xdr:col>
          <xdr:colOff>85725</xdr:colOff>
          <xdr:row>5</xdr:row>
          <xdr:rowOff>628650</xdr:rowOff>
        </xdr:to>
        <xdr:sp macro="" textlink="">
          <xdr:nvSpPr>
            <xdr:cNvPr id="10264" name="Check Box 24" hidden="1">
              <a:extLst>
                <a:ext uri="{63B3BB69-23CF-44E3-9099-C40C66FF867C}">
                  <a14:compatExt spid="_x0000_s10264"/>
                </a:ext>
                <a:ext uri="{FF2B5EF4-FFF2-40B4-BE49-F238E27FC236}">
                  <a16:creationId xmlns:a16="http://schemas.microsoft.com/office/drawing/2014/main" id="{00000000-0008-0000-0300-000018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Дефект материалов, ошибки в конструкции, изготовлении или монтаже застрахованного имущества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647700</xdr:rowOff>
        </xdr:from>
        <xdr:to>
          <xdr:col>7</xdr:col>
          <xdr:colOff>352425</xdr:colOff>
          <xdr:row>5</xdr:row>
          <xdr:rowOff>819150</xdr:rowOff>
        </xdr:to>
        <xdr:sp macro="" textlink="">
          <xdr:nvSpPr>
            <xdr:cNvPr id="10265" name="Check Box 25" hidden="1">
              <a:extLst>
                <a:ext uri="{63B3BB69-23CF-44E3-9099-C40C66FF867C}">
                  <a14:compatExt spid="_x0000_s10265"/>
                </a:ext>
                <a:ext uri="{FF2B5EF4-FFF2-40B4-BE49-F238E27FC236}">
                  <a16:creationId xmlns:a16="http://schemas.microsoft.com/office/drawing/2014/main" id="{00000000-0008-0000-0300-000019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Внезапное прекращение подачи электроэнергии из общественных сетей энергоснабжения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781050</xdr:rowOff>
        </xdr:from>
        <xdr:to>
          <xdr:col>10</xdr:col>
          <xdr:colOff>704850</xdr:colOff>
          <xdr:row>5</xdr:row>
          <xdr:rowOff>1143000</xdr:rowOff>
        </xdr:to>
        <xdr:sp macro="" textlink="">
          <xdr:nvSpPr>
            <xdr:cNvPr id="10266" name="Check Box 26" descr="Кража с незаконным проникновением, грабеж, разбой" hidden="1">
              <a:extLst>
                <a:ext uri="{63B3BB69-23CF-44E3-9099-C40C66FF867C}">
                  <a14:compatExt spid="_x0000_s10266"/>
                </a:ext>
                <a:ext uri="{FF2B5EF4-FFF2-40B4-BE49-F238E27FC236}">
                  <a16:creationId xmlns:a16="http://schemas.microsoft.com/office/drawing/2014/main" id="{00000000-0008-0000-0300-00001A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Выход из строя систем кондиционирования воздуха, включая ущерб, причиненный самой системе, при условии, что она застрахована по настоящему договору страхования, поддерживается в рабочем состоянии и оборудована приборами измерения температуры и влажности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1104900</xdr:rowOff>
        </xdr:from>
        <xdr:to>
          <xdr:col>8</xdr:col>
          <xdr:colOff>695325</xdr:colOff>
          <xdr:row>5</xdr:row>
          <xdr:rowOff>1285875</xdr:rowOff>
        </xdr:to>
        <xdr:sp macro="" textlink="">
          <xdr:nvSpPr>
            <xdr:cNvPr id="10267" name="Check Box 27" hidden="1">
              <a:extLst>
                <a:ext uri="{63B3BB69-23CF-44E3-9099-C40C66FF867C}">
                  <a14:compatExt spid="_x0000_s10267"/>
                </a:ext>
                <a:ext uri="{FF2B5EF4-FFF2-40B4-BE49-F238E27FC236}">
                  <a16:creationId xmlns:a16="http://schemas.microsoft.com/office/drawing/2014/main" id="{00000000-0008-0000-0300-00001B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Использование застрахованного оборудования для проведения экспериментальных или исследовательских работ</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38100</xdr:colOff>
          <xdr:row>12</xdr:row>
          <xdr:rowOff>28575</xdr:rowOff>
        </xdr:from>
        <xdr:to>
          <xdr:col>9</xdr:col>
          <xdr:colOff>438150</xdr:colOff>
          <xdr:row>12</xdr:row>
          <xdr:rowOff>161925</xdr:rowOff>
        </xdr:to>
        <xdr:sp macro="" textlink="">
          <xdr:nvSpPr>
            <xdr:cNvPr id="18468" name="Option Button 36" hidden="1">
              <a:extLst>
                <a:ext uri="{63B3BB69-23CF-44E3-9099-C40C66FF867C}">
                  <a14:compatExt spid="_x0000_s18468"/>
                </a:ext>
                <a:ext uri="{FF2B5EF4-FFF2-40B4-BE49-F238E27FC236}">
                  <a16:creationId xmlns:a16="http://schemas.microsoft.com/office/drawing/2014/main" id="{00000000-0008-0000-0400-000024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561975</xdr:colOff>
          <xdr:row>12</xdr:row>
          <xdr:rowOff>28575</xdr:rowOff>
        </xdr:from>
        <xdr:to>
          <xdr:col>10</xdr:col>
          <xdr:colOff>314325</xdr:colOff>
          <xdr:row>12</xdr:row>
          <xdr:rowOff>152400</xdr:rowOff>
        </xdr:to>
        <xdr:sp macro="" textlink="">
          <xdr:nvSpPr>
            <xdr:cNvPr id="18469" name="Option Button 37" hidden="1">
              <a:extLst>
                <a:ext uri="{63B3BB69-23CF-44E3-9099-C40C66FF867C}">
                  <a14:compatExt spid="_x0000_s18469"/>
                </a:ext>
                <a:ext uri="{FF2B5EF4-FFF2-40B4-BE49-F238E27FC236}">
                  <a16:creationId xmlns:a16="http://schemas.microsoft.com/office/drawing/2014/main" id="{00000000-0008-0000-0400-000025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13</xdr:row>
          <xdr:rowOff>38100</xdr:rowOff>
        </xdr:from>
        <xdr:to>
          <xdr:col>9</xdr:col>
          <xdr:colOff>428625</xdr:colOff>
          <xdr:row>13</xdr:row>
          <xdr:rowOff>161925</xdr:rowOff>
        </xdr:to>
        <xdr:sp macro="" textlink="">
          <xdr:nvSpPr>
            <xdr:cNvPr id="18470" name="Option Button 38" hidden="1">
              <a:extLst>
                <a:ext uri="{63B3BB69-23CF-44E3-9099-C40C66FF867C}">
                  <a14:compatExt spid="_x0000_s18470"/>
                </a:ext>
                <a:ext uri="{FF2B5EF4-FFF2-40B4-BE49-F238E27FC236}">
                  <a16:creationId xmlns:a16="http://schemas.microsoft.com/office/drawing/2014/main" id="{00000000-0008-0000-0400-000026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561975</xdr:colOff>
          <xdr:row>13</xdr:row>
          <xdr:rowOff>38100</xdr:rowOff>
        </xdr:from>
        <xdr:to>
          <xdr:col>10</xdr:col>
          <xdr:colOff>304800</xdr:colOff>
          <xdr:row>13</xdr:row>
          <xdr:rowOff>161925</xdr:rowOff>
        </xdr:to>
        <xdr:sp macro="" textlink="">
          <xdr:nvSpPr>
            <xdr:cNvPr id="18471" name="Option Button 39" hidden="1">
              <a:extLst>
                <a:ext uri="{63B3BB69-23CF-44E3-9099-C40C66FF867C}">
                  <a14:compatExt spid="_x0000_s18471"/>
                </a:ext>
                <a:ext uri="{FF2B5EF4-FFF2-40B4-BE49-F238E27FC236}">
                  <a16:creationId xmlns:a16="http://schemas.microsoft.com/office/drawing/2014/main" id="{00000000-0008-0000-0400-000027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11</xdr:row>
          <xdr:rowOff>28575</xdr:rowOff>
        </xdr:from>
        <xdr:to>
          <xdr:col>9</xdr:col>
          <xdr:colOff>438150</xdr:colOff>
          <xdr:row>11</xdr:row>
          <xdr:rowOff>161925</xdr:rowOff>
        </xdr:to>
        <xdr:sp macro="" textlink="">
          <xdr:nvSpPr>
            <xdr:cNvPr id="18490" name="Option Button 58" hidden="1">
              <a:extLst>
                <a:ext uri="{63B3BB69-23CF-44E3-9099-C40C66FF867C}">
                  <a14:compatExt spid="_x0000_s18490"/>
                </a:ext>
                <a:ext uri="{FF2B5EF4-FFF2-40B4-BE49-F238E27FC236}">
                  <a16:creationId xmlns:a16="http://schemas.microsoft.com/office/drawing/2014/main" id="{00000000-0008-0000-0400-00003A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561975</xdr:colOff>
          <xdr:row>11</xdr:row>
          <xdr:rowOff>38100</xdr:rowOff>
        </xdr:from>
        <xdr:to>
          <xdr:col>10</xdr:col>
          <xdr:colOff>314325</xdr:colOff>
          <xdr:row>11</xdr:row>
          <xdr:rowOff>161925</xdr:rowOff>
        </xdr:to>
        <xdr:sp macro="" textlink="">
          <xdr:nvSpPr>
            <xdr:cNvPr id="18491" name="Option Button 59" hidden="1">
              <a:extLst>
                <a:ext uri="{63B3BB69-23CF-44E3-9099-C40C66FF867C}">
                  <a14:compatExt spid="_x0000_s18491"/>
                </a:ext>
                <a:ext uri="{FF2B5EF4-FFF2-40B4-BE49-F238E27FC236}">
                  <a16:creationId xmlns:a16="http://schemas.microsoft.com/office/drawing/2014/main" id="{00000000-0008-0000-0400-00003B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9</xdr:row>
          <xdr:rowOff>28575</xdr:rowOff>
        </xdr:from>
        <xdr:to>
          <xdr:col>9</xdr:col>
          <xdr:colOff>438150</xdr:colOff>
          <xdr:row>9</xdr:row>
          <xdr:rowOff>171450</xdr:rowOff>
        </xdr:to>
        <xdr:sp macro="" textlink="">
          <xdr:nvSpPr>
            <xdr:cNvPr id="18493" name="Option Button 61" hidden="1">
              <a:extLst>
                <a:ext uri="{63B3BB69-23CF-44E3-9099-C40C66FF867C}">
                  <a14:compatExt spid="_x0000_s18493"/>
                </a:ext>
                <a:ext uri="{FF2B5EF4-FFF2-40B4-BE49-F238E27FC236}">
                  <a16:creationId xmlns:a16="http://schemas.microsoft.com/office/drawing/2014/main" id="{00000000-0008-0000-0400-00003D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561975</xdr:colOff>
          <xdr:row>9</xdr:row>
          <xdr:rowOff>28575</xdr:rowOff>
        </xdr:from>
        <xdr:to>
          <xdr:col>10</xdr:col>
          <xdr:colOff>314325</xdr:colOff>
          <xdr:row>9</xdr:row>
          <xdr:rowOff>152400</xdr:rowOff>
        </xdr:to>
        <xdr:sp macro="" textlink="">
          <xdr:nvSpPr>
            <xdr:cNvPr id="18494" name="Option Button 62" hidden="1">
              <a:extLst>
                <a:ext uri="{63B3BB69-23CF-44E3-9099-C40C66FF867C}">
                  <a14:compatExt spid="_x0000_s18494"/>
                </a:ext>
                <a:ext uri="{FF2B5EF4-FFF2-40B4-BE49-F238E27FC236}">
                  <a16:creationId xmlns:a16="http://schemas.microsoft.com/office/drawing/2014/main" id="{00000000-0008-0000-0400-00003E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10</xdr:row>
          <xdr:rowOff>28575</xdr:rowOff>
        </xdr:from>
        <xdr:to>
          <xdr:col>9</xdr:col>
          <xdr:colOff>438150</xdr:colOff>
          <xdr:row>10</xdr:row>
          <xdr:rowOff>180975</xdr:rowOff>
        </xdr:to>
        <xdr:sp macro="" textlink="">
          <xdr:nvSpPr>
            <xdr:cNvPr id="18496" name="Option Button 64" hidden="1">
              <a:extLst>
                <a:ext uri="{63B3BB69-23CF-44E3-9099-C40C66FF867C}">
                  <a14:compatExt spid="_x0000_s18496"/>
                </a:ext>
                <a:ext uri="{FF2B5EF4-FFF2-40B4-BE49-F238E27FC236}">
                  <a16:creationId xmlns:a16="http://schemas.microsoft.com/office/drawing/2014/main" id="{00000000-0008-0000-0400-000040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561975</xdr:colOff>
          <xdr:row>10</xdr:row>
          <xdr:rowOff>38100</xdr:rowOff>
        </xdr:from>
        <xdr:to>
          <xdr:col>10</xdr:col>
          <xdr:colOff>314325</xdr:colOff>
          <xdr:row>10</xdr:row>
          <xdr:rowOff>161925</xdr:rowOff>
        </xdr:to>
        <xdr:sp macro="" textlink="">
          <xdr:nvSpPr>
            <xdr:cNvPr id="18497" name="Option Button 65" hidden="1">
              <a:extLst>
                <a:ext uri="{63B3BB69-23CF-44E3-9099-C40C66FF867C}">
                  <a14:compatExt spid="_x0000_s18497"/>
                </a:ext>
                <a:ext uri="{FF2B5EF4-FFF2-40B4-BE49-F238E27FC236}">
                  <a16:creationId xmlns:a16="http://schemas.microsoft.com/office/drawing/2014/main" id="{00000000-0008-0000-0400-000041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9</xdr:row>
          <xdr:rowOff>0</xdr:rowOff>
        </xdr:from>
        <xdr:to>
          <xdr:col>11</xdr:col>
          <xdr:colOff>0</xdr:colOff>
          <xdr:row>10</xdr:row>
          <xdr:rowOff>0</xdr:rowOff>
        </xdr:to>
        <xdr:sp macro="" textlink="">
          <xdr:nvSpPr>
            <xdr:cNvPr id="18498" name="Group Box 66" hidden="1">
              <a:extLst>
                <a:ext uri="{63B3BB69-23CF-44E3-9099-C40C66FF867C}">
                  <a14:compatExt spid="_x0000_s18498"/>
                </a:ext>
                <a:ext uri="{FF2B5EF4-FFF2-40B4-BE49-F238E27FC236}">
                  <a16:creationId xmlns:a16="http://schemas.microsoft.com/office/drawing/2014/main" id="{00000000-0008-0000-0400-0000424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10</xdr:row>
          <xdr:rowOff>0</xdr:rowOff>
        </xdr:from>
        <xdr:to>
          <xdr:col>11</xdr:col>
          <xdr:colOff>0</xdr:colOff>
          <xdr:row>11</xdr:row>
          <xdr:rowOff>0</xdr:rowOff>
        </xdr:to>
        <xdr:sp macro="" textlink="">
          <xdr:nvSpPr>
            <xdr:cNvPr id="18499" name="Group Box 67" hidden="1">
              <a:extLst>
                <a:ext uri="{63B3BB69-23CF-44E3-9099-C40C66FF867C}">
                  <a14:compatExt spid="_x0000_s18499"/>
                </a:ext>
                <a:ext uri="{FF2B5EF4-FFF2-40B4-BE49-F238E27FC236}">
                  <a16:creationId xmlns:a16="http://schemas.microsoft.com/office/drawing/2014/main" id="{00000000-0008-0000-0400-0000434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11</xdr:row>
          <xdr:rowOff>0</xdr:rowOff>
        </xdr:from>
        <xdr:to>
          <xdr:col>11</xdr:col>
          <xdr:colOff>0</xdr:colOff>
          <xdr:row>12</xdr:row>
          <xdr:rowOff>0</xdr:rowOff>
        </xdr:to>
        <xdr:sp macro="" textlink="">
          <xdr:nvSpPr>
            <xdr:cNvPr id="18500" name="Group Box 68" hidden="1">
              <a:extLst>
                <a:ext uri="{63B3BB69-23CF-44E3-9099-C40C66FF867C}">
                  <a14:compatExt spid="_x0000_s18500"/>
                </a:ext>
                <a:ext uri="{FF2B5EF4-FFF2-40B4-BE49-F238E27FC236}">
                  <a16:creationId xmlns:a16="http://schemas.microsoft.com/office/drawing/2014/main" id="{00000000-0008-0000-0400-0000444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12</xdr:row>
          <xdr:rowOff>0</xdr:rowOff>
        </xdr:from>
        <xdr:to>
          <xdr:col>11</xdr:col>
          <xdr:colOff>0</xdr:colOff>
          <xdr:row>13</xdr:row>
          <xdr:rowOff>0</xdr:rowOff>
        </xdr:to>
        <xdr:sp macro="" textlink="">
          <xdr:nvSpPr>
            <xdr:cNvPr id="18501" name="Group Box 69" hidden="1">
              <a:extLst>
                <a:ext uri="{63B3BB69-23CF-44E3-9099-C40C66FF867C}">
                  <a14:compatExt spid="_x0000_s18501"/>
                </a:ext>
                <a:ext uri="{FF2B5EF4-FFF2-40B4-BE49-F238E27FC236}">
                  <a16:creationId xmlns:a16="http://schemas.microsoft.com/office/drawing/2014/main" id="{00000000-0008-0000-0400-0000454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12</xdr:row>
          <xdr:rowOff>190500</xdr:rowOff>
        </xdr:from>
        <xdr:to>
          <xdr:col>11</xdr:col>
          <xdr:colOff>0</xdr:colOff>
          <xdr:row>14</xdr:row>
          <xdr:rowOff>0</xdr:rowOff>
        </xdr:to>
        <xdr:sp macro="" textlink="">
          <xdr:nvSpPr>
            <xdr:cNvPr id="18502" name="Group Box 70" hidden="1">
              <a:extLst>
                <a:ext uri="{63B3BB69-23CF-44E3-9099-C40C66FF867C}">
                  <a14:compatExt spid="_x0000_s18502"/>
                </a:ext>
                <a:ext uri="{FF2B5EF4-FFF2-40B4-BE49-F238E27FC236}">
                  <a16:creationId xmlns:a16="http://schemas.microsoft.com/office/drawing/2014/main" id="{00000000-0008-0000-0400-0000464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47625</xdr:colOff>
          <xdr:row>24</xdr:row>
          <xdr:rowOff>38100</xdr:rowOff>
        </xdr:from>
        <xdr:to>
          <xdr:col>9</xdr:col>
          <xdr:colOff>466725</xdr:colOff>
          <xdr:row>24</xdr:row>
          <xdr:rowOff>152400</xdr:rowOff>
        </xdr:to>
        <xdr:sp macro="" textlink="">
          <xdr:nvSpPr>
            <xdr:cNvPr id="19484" name="Option Button 28" hidden="1">
              <a:extLst>
                <a:ext uri="{63B3BB69-23CF-44E3-9099-C40C66FF867C}">
                  <a14:compatExt spid="_x0000_s19484"/>
                </a:ext>
                <a:ext uri="{FF2B5EF4-FFF2-40B4-BE49-F238E27FC236}">
                  <a16:creationId xmlns:a16="http://schemas.microsoft.com/office/drawing/2014/main" id="{00000000-0008-0000-0500-00001C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533400</xdr:colOff>
          <xdr:row>24</xdr:row>
          <xdr:rowOff>19050</xdr:rowOff>
        </xdr:from>
        <xdr:to>
          <xdr:col>10</xdr:col>
          <xdr:colOff>238125</xdr:colOff>
          <xdr:row>24</xdr:row>
          <xdr:rowOff>161925</xdr:rowOff>
        </xdr:to>
        <xdr:sp macro="" textlink="">
          <xdr:nvSpPr>
            <xdr:cNvPr id="19485" name="Option Button 29" hidden="1">
              <a:extLst>
                <a:ext uri="{63B3BB69-23CF-44E3-9099-C40C66FF867C}">
                  <a14:compatExt spid="_x0000_s19485"/>
                </a:ext>
                <a:ext uri="{FF2B5EF4-FFF2-40B4-BE49-F238E27FC236}">
                  <a16:creationId xmlns:a16="http://schemas.microsoft.com/office/drawing/2014/main" id="{00000000-0008-0000-0500-00001D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25</xdr:row>
          <xdr:rowOff>19050</xdr:rowOff>
        </xdr:from>
        <xdr:to>
          <xdr:col>9</xdr:col>
          <xdr:colOff>400050</xdr:colOff>
          <xdr:row>25</xdr:row>
          <xdr:rowOff>152400</xdr:rowOff>
        </xdr:to>
        <xdr:sp macro="" textlink="">
          <xdr:nvSpPr>
            <xdr:cNvPr id="19487" name="Option Button 31" hidden="1">
              <a:extLst>
                <a:ext uri="{63B3BB69-23CF-44E3-9099-C40C66FF867C}">
                  <a14:compatExt spid="_x0000_s19487"/>
                </a:ext>
                <a:ext uri="{FF2B5EF4-FFF2-40B4-BE49-F238E27FC236}">
                  <a16:creationId xmlns:a16="http://schemas.microsoft.com/office/drawing/2014/main" id="{00000000-0008-0000-0500-00001F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533400</xdr:colOff>
          <xdr:row>25</xdr:row>
          <xdr:rowOff>28575</xdr:rowOff>
        </xdr:from>
        <xdr:to>
          <xdr:col>10</xdr:col>
          <xdr:colOff>247650</xdr:colOff>
          <xdr:row>25</xdr:row>
          <xdr:rowOff>152400</xdr:rowOff>
        </xdr:to>
        <xdr:sp macro="" textlink="">
          <xdr:nvSpPr>
            <xdr:cNvPr id="19488" name="Option Button 32" hidden="1">
              <a:extLst>
                <a:ext uri="{63B3BB69-23CF-44E3-9099-C40C66FF867C}">
                  <a14:compatExt spid="_x0000_s19488"/>
                </a:ext>
                <a:ext uri="{FF2B5EF4-FFF2-40B4-BE49-F238E27FC236}">
                  <a16:creationId xmlns:a16="http://schemas.microsoft.com/office/drawing/2014/main" id="{00000000-0008-0000-0500-000020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xdr:colOff>
          <xdr:row>27</xdr:row>
          <xdr:rowOff>19050</xdr:rowOff>
        </xdr:from>
        <xdr:to>
          <xdr:col>9</xdr:col>
          <xdr:colOff>447675</xdr:colOff>
          <xdr:row>27</xdr:row>
          <xdr:rowOff>171450</xdr:rowOff>
        </xdr:to>
        <xdr:sp macro="" textlink="">
          <xdr:nvSpPr>
            <xdr:cNvPr id="19489" name="Option Button 33" hidden="1">
              <a:extLst>
                <a:ext uri="{63B3BB69-23CF-44E3-9099-C40C66FF867C}">
                  <a14:compatExt spid="_x0000_s19489"/>
                </a:ext>
                <a:ext uri="{FF2B5EF4-FFF2-40B4-BE49-F238E27FC236}">
                  <a16:creationId xmlns:a16="http://schemas.microsoft.com/office/drawing/2014/main" id="{00000000-0008-0000-0500-000021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542925</xdr:colOff>
          <xdr:row>27</xdr:row>
          <xdr:rowOff>9525</xdr:rowOff>
        </xdr:from>
        <xdr:to>
          <xdr:col>10</xdr:col>
          <xdr:colOff>228600</xdr:colOff>
          <xdr:row>27</xdr:row>
          <xdr:rowOff>171450</xdr:rowOff>
        </xdr:to>
        <xdr:sp macro="" textlink="">
          <xdr:nvSpPr>
            <xdr:cNvPr id="19490" name="Option Button 34" hidden="1">
              <a:extLst>
                <a:ext uri="{63B3BB69-23CF-44E3-9099-C40C66FF867C}">
                  <a14:compatExt spid="_x0000_s19490"/>
                </a:ext>
                <a:ext uri="{FF2B5EF4-FFF2-40B4-BE49-F238E27FC236}">
                  <a16:creationId xmlns:a16="http://schemas.microsoft.com/office/drawing/2014/main" id="{00000000-0008-0000-0500-000022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xdr:colOff>
          <xdr:row>32</xdr:row>
          <xdr:rowOff>19050</xdr:rowOff>
        </xdr:from>
        <xdr:to>
          <xdr:col>9</xdr:col>
          <xdr:colOff>457200</xdr:colOff>
          <xdr:row>32</xdr:row>
          <xdr:rowOff>152400</xdr:rowOff>
        </xdr:to>
        <xdr:sp macro="" textlink="">
          <xdr:nvSpPr>
            <xdr:cNvPr id="19491" name="Option Button 35" hidden="1">
              <a:extLst>
                <a:ext uri="{63B3BB69-23CF-44E3-9099-C40C66FF867C}">
                  <a14:compatExt spid="_x0000_s19491"/>
                </a:ext>
                <a:ext uri="{FF2B5EF4-FFF2-40B4-BE49-F238E27FC236}">
                  <a16:creationId xmlns:a16="http://schemas.microsoft.com/office/drawing/2014/main" id="{00000000-0008-0000-0500-000023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552450</xdr:colOff>
          <xdr:row>32</xdr:row>
          <xdr:rowOff>19050</xdr:rowOff>
        </xdr:from>
        <xdr:to>
          <xdr:col>10</xdr:col>
          <xdr:colOff>285750</xdr:colOff>
          <xdr:row>32</xdr:row>
          <xdr:rowOff>161925</xdr:rowOff>
        </xdr:to>
        <xdr:sp macro="" textlink="">
          <xdr:nvSpPr>
            <xdr:cNvPr id="19492" name="Option Button 36" hidden="1">
              <a:extLst>
                <a:ext uri="{63B3BB69-23CF-44E3-9099-C40C66FF867C}">
                  <a14:compatExt spid="_x0000_s19492"/>
                </a:ext>
                <a:ext uri="{FF2B5EF4-FFF2-40B4-BE49-F238E27FC236}">
                  <a16:creationId xmlns:a16="http://schemas.microsoft.com/office/drawing/2014/main" id="{00000000-0008-0000-0500-000024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66675</xdr:colOff>
          <xdr:row>34</xdr:row>
          <xdr:rowOff>19050</xdr:rowOff>
        </xdr:from>
        <xdr:to>
          <xdr:col>9</xdr:col>
          <xdr:colOff>476250</xdr:colOff>
          <xdr:row>34</xdr:row>
          <xdr:rowOff>161925</xdr:rowOff>
        </xdr:to>
        <xdr:sp macro="" textlink="">
          <xdr:nvSpPr>
            <xdr:cNvPr id="19493" name="Option Button 37" hidden="1">
              <a:extLst>
                <a:ext uri="{63B3BB69-23CF-44E3-9099-C40C66FF867C}">
                  <a14:compatExt spid="_x0000_s19493"/>
                </a:ext>
                <a:ext uri="{FF2B5EF4-FFF2-40B4-BE49-F238E27FC236}">
                  <a16:creationId xmlns:a16="http://schemas.microsoft.com/office/drawing/2014/main" id="{00000000-0008-0000-0500-000025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561975</xdr:colOff>
          <xdr:row>34</xdr:row>
          <xdr:rowOff>28575</xdr:rowOff>
        </xdr:from>
        <xdr:to>
          <xdr:col>10</xdr:col>
          <xdr:colOff>304800</xdr:colOff>
          <xdr:row>34</xdr:row>
          <xdr:rowOff>171450</xdr:rowOff>
        </xdr:to>
        <xdr:sp macro="" textlink="">
          <xdr:nvSpPr>
            <xdr:cNvPr id="19494" name="Option Button 38" hidden="1">
              <a:extLst>
                <a:ext uri="{63B3BB69-23CF-44E3-9099-C40C66FF867C}">
                  <a14:compatExt spid="_x0000_s19494"/>
                </a:ext>
                <a:ext uri="{FF2B5EF4-FFF2-40B4-BE49-F238E27FC236}">
                  <a16:creationId xmlns:a16="http://schemas.microsoft.com/office/drawing/2014/main" id="{00000000-0008-0000-0500-000026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xdr:row>
          <xdr:rowOff>381000</xdr:rowOff>
        </xdr:from>
        <xdr:to>
          <xdr:col>10</xdr:col>
          <xdr:colOff>685800</xdr:colOff>
          <xdr:row>3</xdr:row>
          <xdr:rowOff>723900</xdr:rowOff>
        </xdr:to>
        <xdr:sp macro="" textlink="">
          <xdr:nvSpPr>
            <xdr:cNvPr id="19503" name="Check Box 47" hidden="1">
              <a:extLst>
                <a:ext uri="{63B3BB69-23CF-44E3-9099-C40C66FF867C}">
                  <a14:compatExt spid="_x0000_s19503"/>
                </a:ext>
                <a:ext uri="{FF2B5EF4-FFF2-40B4-BE49-F238E27FC236}">
                  <a16:creationId xmlns:a16="http://schemas.microsoft.com/office/drawing/2014/main" id="{00000000-0008-0000-0500-00002F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Прекращение работы (остановка) оборудования, обеспечивающего поддержание температурного режима, из-за внезапного (непредвиденного) прекращения подачи электрической энергии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xdr:row>
          <xdr:rowOff>19050</xdr:rowOff>
        </xdr:from>
        <xdr:to>
          <xdr:col>10</xdr:col>
          <xdr:colOff>695325</xdr:colOff>
          <xdr:row>3</xdr:row>
          <xdr:rowOff>381000</xdr:rowOff>
        </xdr:to>
        <xdr:sp macro="" textlink="">
          <xdr:nvSpPr>
            <xdr:cNvPr id="19504" name="Check Box 48" hidden="1">
              <a:extLst>
                <a:ext uri="{63B3BB69-23CF-44E3-9099-C40C66FF867C}">
                  <a14:compatExt spid="_x0000_s19504"/>
                </a:ext>
                <a:ext uri="{FF2B5EF4-FFF2-40B4-BE49-F238E27FC236}">
                  <a16:creationId xmlns:a16="http://schemas.microsoft.com/office/drawing/2014/main" id="{00000000-0008-0000-0500-000030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Внезапное и непредвиденное повреждение, уничтожение или поломка оборудования, обеспечивающего поддержание температурного режима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24</xdr:row>
          <xdr:rowOff>0</xdr:rowOff>
        </xdr:from>
        <xdr:to>
          <xdr:col>11</xdr:col>
          <xdr:colOff>0</xdr:colOff>
          <xdr:row>25</xdr:row>
          <xdr:rowOff>0</xdr:rowOff>
        </xdr:to>
        <xdr:sp macro="" textlink="">
          <xdr:nvSpPr>
            <xdr:cNvPr id="19505" name="Group Box 49" hidden="1">
              <a:extLst>
                <a:ext uri="{63B3BB69-23CF-44E3-9099-C40C66FF867C}">
                  <a14:compatExt spid="_x0000_s19505"/>
                </a:ext>
                <a:ext uri="{FF2B5EF4-FFF2-40B4-BE49-F238E27FC236}">
                  <a16:creationId xmlns:a16="http://schemas.microsoft.com/office/drawing/2014/main" id="{00000000-0008-0000-0500-000031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25</xdr:row>
          <xdr:rowOff>0</xdr:rowOff>
        </xdr:from>
        <xdr:to>
          <xdr:col>11</xdr:col>
          <xdr:colOff>0</xdr:colOff>
          <xdr:row>26</xdr:row>
          <xdr:rowOff>0</xdr:rowOff>
        </xdr:to>
        <xdr:sp macro="" textlink="">
          <xdr:nvSpPr>
            <xdr:cNvPr id="19506" name="Group Box 50" hidden="1">
              <a:extLst>
                <a:ext uri="{63B3BB69-23CF-44E3-9099-C40C66FF867C}">
                  <a14:compatExt spid="_x0000_s19506"/>
                </a:ext>
                <a:ext uri="{FF2B5EF4-FFF2-40B4-BE49-F238E27FC236}">
                  <a16:creationId xmlns:a16="http://schemas.microsoft.com/office/drawing/2014/main" id="{00000000-0008-0000-0500-000032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27</xdr:row>
          <xdr:rowOff>0</xdr:rowOff>
        </xdr:from>
        <xdr:to>
          <xdr:col>11</xdr:col>
          <xdr:colOff>0</xdr:colOff>
          <xdr:row>28</xdr:row>
          <xdr:rowOff>0</xdr:rowOff>
        </xdr:to>
        <xdr:sp macro="" textlink="">
          <xdr:nvSpPr>
            <xdr:cNvPr id="19507" name="Group Box 51" hidden="1">
              <a:extLst>
                <a:ext uri="{63B3BB69-23CF-44E3-9099-C40C66FF867C}">
                  <a14:compatExt spid="_x0000_s19507"/>
                </a:ext>
                <a:ext uri="{FF2B5EF4-FFF2-40B4-BE49-F238E27FC236}">
                  <a16:creationId xmlns:a16="http://schemas.microsoft.com/office/drawing/2014/main" id="{00000000-0008-0000-0500-000033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32</xdr:row>
          <xdr:rowOff>0</xdr:rowOff>
        </xdr:from>
        <xdr:to>
          <xdr:col>11</xdr:col>
          <xdr:colOff>0</xdr:colOff>
          <xdr:row>33</xdr:row>
          <xdr:rowOff>0</xdr:rowOff>
        </xdr:to>
        <xdr:sp macro="" textlink="">
          <xdr:nvSpPr>
            <xdr:cNvPr id="19508" name="Group Box 52" hidden="1">
              <a:extLst>
                <a:ext uri="{63B3BB69-23CF-44E3-9099-C40C66FF867C}">
                  <a14:compatExt spid="_x0000_s19508"/>
                </a:ext>
                <a:ext uri="{FF2B5EF4-FFF2-40B4-BE49-F238E27FC236}">
                  <a16:creationId xmlns:a16="http://schemas.microsoft.com/office/drawing/2014/main" id="{00000000-0008-0000-0500-000034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34</xdr:row>
          <xdr:rowOff>0</xdr:rowOff>
        </xdr:from>
        <xdr:to>
          <xdr:col>11</xdr:col>
          <xdr:colOff>0</xdr:colOff>
          <xdr:row>35</xdr:row>
          <xdr:rowOff>0</xdr:rowOff>
        </xdr:to>
        <xdr:sp macro="" textlink="">
          <xdr:nvSpPr>
            <xdr:cNvPr id="19509" name="Group Box 53" hidden="1">
              <a:extLst>
                <a:ext uri="{63B3BB69-23CF-44E3-9099-C40C66FF867C}">
                  <a14:compatExt spid="_x0000_s19509"/>
                </a:ext>
                <a:ext uri="{FF2B5EF4-FFF2-40B4-BE49-F238E27FC236}">
                  <a16:creationId xmlns:a16="http://schemas.microsoft.com/office/drawing/2014/main" id="{00000000-0008-0000-0500-000035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15</xdr:row>
          <xdr:rowOff>28575</xdr:rowOff>
        </xdr:from>
        <xdr:to>
          <xdr:col>9</xdr:col>
          <xdr:colOff>400050</xdr:colOff>
          <xdr:row>15</xdr:row>
          <xdr:rowOff>161925</xdr:rowOff>
        </xdr:to>
        <xdr:sp macro="" textlink="">
          <xdr:nvSpPr>
            <xdr:cNvPr id="19510" name="Option Button 54" hidden="1">
              <a:extLst>
                <a:ext uri="{63B3BB69-23CF-44E3-9099-C40C66FF867C}">
                  <a14:compatExt spid="_x0000_s19510"/>
                </a:ext>
                <a:ext uri="{FF2B5EF4-FFF2-40B4-BE49-F238E27FC236}">
                  <a16:creationId xmlns:a16="http://schemas.microsoft.com/office/drawing/2014/main" id="{00000000-0008-0000-0500-000036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542925</xdr:colOff>
          <xdr:row>15</xdr:row>
          <xdr:rowOff>19050</xdr:rowOff>
        </xdr:from>
        <xdr:to>
          <xdr:col>10</xdr:col>
          <xdr:colOff>209550</xdr:colOff>
          <xdr:row>15</xdr:row>
          <xdr:rowOff>171450</xdr:rowOff>
        </xdr:to>
        <xdr:sp macro="" textlink="">
          <xdr:nvSpPr>
            <xdr:cNvPr id="19511" name="Option Button 55" hidden="1">
              <a:extLst>
                <a:ext uri="{63B3BB69-23CF-44E3-9099-C40C66FF867C}">
                  <a14:compatExt spid="_x0000_s19511"/>
                </a:ext>
                <a:ext uri="{FF2B5EF4-FFF2-40B4-BE49-F238E27FC236}">
                  <a16:creationId xmlns:a16="http://schemas.microsoft.com/office/drawing/2014/main" id="{00000000-0008-0000-0500-0000374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15</xdr:row>
          <xdr:rowOff>0</xdr:rowOff>
        </xdr:from>
        <xdr:to>
          <xdr:col>11</xdr:col>
          <xdr:colOff>0</xdr:colOff>
          <xdr:row>16</xdr:row>
          <xdr:rowOff>0</xdr:rowOff>
        </xdr:to>
        <xdr:sp macro="" textlink="">
          <xdr:nvSpPr>
            <xdr:cNvPr id="19512" name="Group Box 56" hidden="1">
              <a:extLst>
                <a:ext uri="{63B3BB69-23CF-44E3-9099-C40C66FF867C}">
                  <a14:compatExt spid="_x0000_s19512"/>
                </a:ext>
                <a:ext uri="{FF2B5EF4-FFF2-40B4-BE49-F238E27FC236}">
                  <a16:creationId xmlns:a16="http://schemas.microsoft.com/office/drawing/2014/main" id="{00000000-0008-0000-0500-000038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38100</xdr:colOff>
          <xdr:row>4</xdr:row>
          <xdr:rowOff>104775</xdr:rowOff>
        </xdr:from>
        <xdr:to>
          <xdr:col>9</xdr:col>
          <xdr:colOff>438150</xdr:colOff>
          <xdr:row>4</xdr:row>
          <xdr:rowOff>247650</xdr:rowOff>
        </xdr:to>
        <xdr:sp macro="" textlink="">
          <xdr:nvSpPr>
            <xdr:cNvPr id="26625" name="Option Button 1" hidden="1">
              <a:extLst>
                <a:ext uri="{63B3BB69-23CF-44E3-9099-C40C66FF867C}">
                  <a14:compatExt spid="_x0000_s26625"/>
                </a:ext>
                <a:ext uri="{FF2B5EF4-FFF2-40B4-BE49-F238E27FC236}">
                  <a16:creationId xmlns:a16="http://schemas.microsoft.com/office/drawing/2014/main" id="{00000000-0008-0000-0600-000001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4</xdr:row>
          <xdr:rowOff>104775</xdr:rowOff>
        </xdr:from>
        <xdr:to>
          <xdr:col>10</xdr:col>
          <xdr:colOff>238125</xdr:colOff>
          <xdr:row>4</xdr:row>
          <xdr:rowOff>247650</xdr:rowOff>
        </xdr:to>
        <xdr:sp macro="" textlink="">
          <xdr:nvSpPr>
            <xdr:cNvPr id="26626" name="Option Button 2" hidden="1">
              <a:extLst>
                <a:ext uri="{63B3BB69-23CF-44E3-9099-C40C66FF867C}">
                  <a14:compatExt spid="_x0000_s26626"/>
                </a:ext>
                <a:ext uri="{FF2B5EF4-FFF2-40B4-BE49-F238E27FC236}">
                  <a16:creationId xmlns:a16="http://schemas.microsoft.com/office/drawing/2014/main" id="{00000000-0008-0000-0600-000002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5</xdr:row>
          <xdr:rowOff>28575</xdr:rowOff>
        </xdr:from>
        <xdr:to>
          <xdr:col>9</xdr:col>
          <xdr:colOff>466725</xdr:colOff>
          <xdr:row>5</xdr:row>
          <xdr:rowOff>161925</xdr:rowOff>
        </xdr:to>
        <xdr:sp macro="" textlink="">
          <xdr:nvSpPr>
            <xdr:cNvPr id="26627" name="Option Button 3" hidden="1">
              <a:extLst>
                <a:ext uri="{63B3BB69-23CF-44E3-9099-C40C66FF867C}">
                  <a14:compatExt spid="_x0000_s26627"/>
                </a:ext>
                <a:ext uri="{FF2B5EF4-FFF2-40B4-BE49-F238E27FC236}">
                  <a16:creationId xmlns:a16="http://schemas.microsoft.com/office/drawing/2014/main" id="{00000000-0008-0000-0600-000003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5</xdr:row>
          <xdr:rowOff>38100</xdr:rowOff>
        </xdr:from>
        <xdr:to>
          <xdr:col>10</xdr:col>
          <xdr:colOff>209550</xdr:colOff>
          <xdr:row>5</xdr:row>
          <xdr:rowOff>161925</xdr:rowOff>
        </xdr:to>
        <xdr:sp macro="" textlink="">
          <xdr:nvSpPr>
            <xdr:cNvPr id="26628" name="Option Button 4" hidden="1">
              <a:extLst>
                <a:ext uri="{63B3BB69-23CF-44E3-9099-C40C66FF867C}">
                  <a14:compatExt spid="_x0000_s26628"/>
                </a:ext>
                <a:ext uri="{FF2B5EF4-FFF2-40B4-BE49-F238E27FC236}">
                  <a16:creationId xmlns:a16="http://schemas.microsoft.com/office/drawing/2014/main" id="{00000000-0008-0000-0600-000004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xdr:colOff>
          <xdr:row>6</xdr:row>
          <xdr:rowOff>95250</xdr:rowOff>
        </xdr:from>
        <xdr:to>
          <xdr:col>9</xdr:col>
          <xdr:colOff>419100</xdr:colOff>
          <xdr:row>6</xdr:row>
          <xdr:rowOff>238125</xdr:rowOff>
        </xdr:to>
        <xdr:sp macro="" textlink="">
          <xdr:nvSpPr>
            <xdr:cNvPr id="26630" name="Option Button 6" hidden="1">
              <a:extLst>
                <a:ext uri="{63B3BB69-23CF-44E3-9099-C40C66FF867C}">
                  <a14:compatExt spid="_x0000_s26630"/>
                </a:ext>
                <a:ext uri="{FF2B5EF4-FFF2-40B4-BE49-F238E27FC236}">
                  <a16:creationId xmlns:a16="http://schemas.microsoft.com/office/drawing/2014/main" id="{00000000-0008-0000-0600-000006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514350</xdr:colOff>
          <xdr:row>6</xdr:row>
          <xdr:rowOff>104775</xdr:rowOff>
        </xdr:from>
        <xdr:to>
          <xdr:col>10</xdr:col>
          <xdr:colOff>209550</xdr:colOff>
          <xdr:row>6</xdr:row>
          <xdr:rowOff>257175</xdr:rowOff>
        </xdr:to>
        <xdr:sp macro="" textlink="">
          <xdr:nvSpPr>
            <xdr:cNvPr id="26631" name="Option Button 7" hidden="1">
              <a:extLst>
                <a:ext uri="{63B3BB69-23CF-44E3-9099-C40C66FF867C}">
                  <a14:compatExt spid="_x0000_s26631"/>
                </a:ext>
                <a:ext uri="{FF2B5EF4-FFF2-40B4-BE49-F238E27FC236}">
                  <a16:creationId xmlns:a16="http://schemas.microsoft.com/office/drawing/2014/main" id="{00000000-0008-0000-0600-000007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8</xdr:row>
          <xdr:rowOff>19050</xdr:rowOff>
        </xdr:from>
        <xdr:to>
          <xdr:col>9</xdr:col>
          <xdr:colOff>495300</xdr:colOff>
          <xdr:row>8</xdr:row>
          <xdr:rowOff>152400</xdr:rowOff>
        </xdr:to>
        <xdr:sp macro="" textlink="">
          <xdr:nvSpPr>
            <xdr:cNvPr id="26633" name="Option Button 9" hidden="1">
              <a:extLst>
                <a:ext uri="{63B3BB69-23CF-44E3-9099-C40C66FF867C}">
                  <a14:compatExt spid="_x0000_s26633"/>
                </a:ext>
                <a:ext uri="{FF2B5EF4-FFF2-40B4-BE49-F238E27FC236}">
                  <a16:creationId xmlns:a16="http://schemas.microsoft.com/office/drawing/2014/main" id="{00000000-0008-0000-0600-000009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523875</xdr:colOff>
          <xdr:row>8</xdr:row>
          <xdr:rowOff>28575</xdr:rowOff>
        </xdr:from>
        <xdr:to>
          <xdr:col>10</xdr:col>
          <xdr:colOff>257175</xdr:colOff>
          <xdr:row>8</xdr:row>
          <xdr:rowOff>152400</xdr:rowOff>
        </xdr:to>
        <xdr:sp macro="" textlink="">
          <xdr:nvSpPr>
            <xdr:cNvPr id="26634" name="Option Button 10" hidden="1">
              <a:extLst>
                <a:ext uri="{63B3BB69-23CF-44E3-9099-C40C66FF867C}">
                  <a14:compatExt spid="_x0000_s26634"/>
                </a:ext>
                <a:ext uri="{FF2B5EF4-FFF2-40B4-BE49-F238E27FC236}">
                  <a16:creationId xmlns:a16="http://schemas.microsoft.com/office/drawing/2014/main" id="{00000000-0008-0000-0600-00000A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9</xdr:row>
          <xdr:rowOff>19050</xdr:rowOff>
        </xdr:from>
        <xdr:to>
          <xdr:col>9</xdr:col>
          <xdr:colOff>495300</xdr:colOff>
          <xdr:row>9</xdr:row>
          <xdr:rowOff>161925</xdr:rowOff>
        </xdr:to>
        <xdr:sp macro="" textlink="">
          <xdr:nvSpPr>
            <xdr:cNvPr id="26635" name="Option Button 11" hidden="1">
              <a:extLst>
                <a:ext uri="{63B3BB69-23CF-44E3-9099-C40C66FF867C}">
                  <a14:compatExt spid="_x0000_s26635"/>
                </a:ext>
                <a:ext uri="{FF2B5EF4-FFF2-40B4-BE49-F238E27FC236}">
                  <a16:creationId xmlns:a16="http://schemas.microsoft.com/office/drawing/2014/main" id="{00000000-0008-0000-0600-00000B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523875</xdr:colOff>
          <xdr:row>9</xdr:row>
          <xdr:rowOff>28575</xdr:rowOff>
        </xdr:from>
        <xdr:to>
          <xdr:col>10</xdr:col>
          <xdr:colOff>257175</xdr:colOff>
          <xdr:row>9</xdr:row>
          <xdr:rowOff>152400</xdr:rowOff>
        </xdr:to>
        <xdr:sp macro="" textlink="">
          <xdr:nvSpPr>
            <xdr:cNvPr id="26636" name="Option Button 12" hidden="1">
              <a:extLst>
                <a:ext uri="{63B3BB69-23CF-44E3-9099-C40C66FF867C}">
                  <a14:compatExt spid="_x0000_s26636"/>
                </a:ext>
                <a:ext uri="{FF2B5EF4-FFF2-40B4-BE49-F238E27FC236}">
                  <a16:creationId xmlns:a16="http://schemas.microsoft.com/office/drawing/2014/main" id="{00000000-0008-0000-0600-00000C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10</xdr:row>
          <xdr:rowOff>19050</xdr:rowOff>
        </xdr:from>
        <xdr:to>
          <xdr:col>9</xdr:col>
          <xdr:colOff>495300</xdr:colOff>
          <xdr:row>10</xdr:row>
          <xdr:rowOff>161925</xdr:rowOff>
        </xdr:to>
        <xdr:sp macro="" textlink="">
          <xdr:nvSpPr>
            <xdr:cNvPr id="26637" name="Option Button 13" hidden="1">
              <a:extLst>
                <a:ext uri="{63B3BB69-23CF-44E3-9099-C40C66FF867C}">
                  <a14:compatExt spid="_x0000_s26637"/>
                </a:ext>
                <a:ext uri="{FF2B5EF4-FFF2-40B4-BE49-F238E27FC236}">
                  <a16:creationId xmlns:a16="http://schemas.microsoft.com/office/drawing/2014/main" id="{00000000-0008-0000-0600-00000D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523875</xdr:colOff>
          <xdr:row>10</xdr:row>
          <xdr:rowOff>28575</xdr:rowOff>
        </xdr:from>
        <xdr:to>
          <xdr:col>10</xdr:col>
          <xdr:colOff>257175</xdr:colOff>
          <xdr:row>10</xdr:row>
          <xdr:rowOff>152400</xdr:rowOff>
        </xdr:to>
        <xdr:sp macro="" textlink="">
          <xdr:nvSpPr>
            <xdr:cNvPr id="26638" name="Option Button 14" hidden="1">
              <a:extLst>
                <a:ext uri="{63B3BB69-23CF-44E3-9099-C40C66FF867C}">
                  <a14:compatExt spid="_x0000_s26638"/>
                </a:ext>
                <a:ext uri="{FF2B5EF4-FFF2-40B4-BE49-F238E27FC236}">
                  <a16:creationId xmlns:a16="http://schemas.microsoft.com/office/drawing/2014/main" id="{00000000-0008-0000-0600-00000E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11</xdr:row>
          <xdr:rowOff>28575</xdr:rowOff>
        </xdr:from>
        <xdr:to>
          <xdr:col>9</xdr:col>
          <xdr:colOff>495300</xdr:colOff>
          <xdr:row>11</xdr:row>
          <xdr:rowOff>161925</xdr:rowOff>
        </xdr:to>
        <xdr:sp macro="" textlink="">
          <xdr:nvSpPr>
            <xdr:cNvPr id="26639" name="Option Button 15" hidden="1">
              <a:extLst>
                <a:ext uri="{63B3BB69-23CF-44E3-9099-C40C66FF867C}">
                  <a14:compatExt spid="_x0000_s26639"/>
                </a:ext>
                <a:ext uri="{FF2B5EF4-FFF2-40B4-BE49-F238E27FC236}">
                  <a16:creationId xmlns:a16="http://schemas.microsoft.com/office/drawing/2014/main" id="{00000000-0008-0000-0600-00000F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523875</xdr:colOff>
          <xdr:row>11</xdr:row>
          <xdr:rowOff>19050</xdr:rowOff>
        </xdr:from>
        <xdr:to>
          <xdr:col>10</xdr:col>
          <xdr:colOff>266700</xdr:colOff>
          <xdr:row>11</xdr:row>
          <xdr:rowOff>152400</xdr:rowOff>
        </xdr:to>
        <xdr:sp macro="" textlink="">
          <xdr:nvSpPr>
            <xdr:cNvPr id="26640" name="Option Button 16" hidden="1">
              <a:extLst>
                <a:ext uri="{63B3BB69-23CF-44E3-9099-C40C66FF867C}">
                  <a14:compatExt spid="_x0000_s26640"/>
                </a:ext>
                <a:ext uri="{FF2B5EF4-FFF2-40B4-BE49-F238E27FC236}">
                  <a16:creationId xmlns:a16="http://schemas.microsoft.com/office/drawing/2014/main" id="{00000000-0008-0000-0600-000010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12</xdr:row>
          <xdr:rowOff>28575</xdr:rowOff>
        </xdr:from>
        <xdr:to>
          <xdr:col>9</xdr:col>
          <xdr:colOff>495300</xdr:colOff>
          <xdr:row>12</xdr:row>
          <xdr:rowOff>161925</xdr:rowOff>
        </xdr:to>
        <xdr:sp macro="" textlink="">
          <xdr:nvSpPr>
            <xdr:cNvPr id="26642" name="Option Button 18" hidden="1">
              <a:extLst>
                <a:ext uri="{63B3BB69-23CF-44E3-9099-C40C66FF867C}">
                  <a14:compatExt spid="_x0000_s26642"/>
                </a:ext>
                <a:ext uri="{FF2B5EF4-FFF2-40B4-BE49-F238E27FC236}">
                  <a16:creationId xmlns:a16="http://schemas.microsoft.com/office/drawing/2014/main" id="{00000000-0008-0000-0600-000012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523875</xdr:colOff>
          <xdr:row>12</xdr:row>
          <xdr:rowOff>28575</xdr:rowOff>
        </xdr:from>
        <xdr:to>
          <xdr:col>10</xdr:col>
          <xdr:colOff>257175</xdr:colOff>
          <xdr:row>12</xdr:row>
          <xdr:rowOff>152400</xdr:rowOff>
        </xdr:to>
        <xdr:sp macro="" textlink="">
          <xdr:nvSpPr>
            <xdr:cNvPr id="26643" name="Option Button 19" hidden="1">
              <a:extLst>
                <a:ext uri="{63B3BB69-23CF-44E3-9099-C40C66FF867C}">
                  <a14:compatExt spid="_x0000_s26643"/>
                </a:ext>
                <a:ext uri="{FF2B5EF4-FFF2-40B4-BE49-F238E27FC236}">
                  <a16:creationId xmlns:a16="http://schemas.microsoft.com/office/drawing/2014/main" id="{00000000-0008-0000-0600-000013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13</xdr:row>
          <xdr:rowOff>114300</xdr:rowOff>
        </xdr:from>
        <xdr:to>
          <xdr:col>9</xdr:col>
          <xdr:colOff>504825</xdr:colOff>
          <xdr:row>13</xdr:row>
          <xdr:rowOff>257175</xdr:rowOff>
        </xdr:to>
        <xdr:sp macro="" textlink="">
          <xdr:nvSpPr>
            <xdr:cNvPr id="26644" name="Option Button 20" hidden="1">
              <a:extLst>
                <a:ext uri="{63B3BB69-23CF-44E3-9099-C40C66FF867C}">
                  <a14:compatExt spid="_x0000_s26644"/>
                </a:ext>
                <a:ext uri="{FF2B5EF4-FFF2-40B4-BE49-F238E27FC236}">
                  <a16:creationId xmlns:a16="http://schemas.microsoft.com/office/drawing/2014/main" id="{00000000-0008-0000-0600-000014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533400</xdr:colOff>
          <xdr:row>13</xdr:row>
          <xdr:rowOff>114300</xdr:rowOff>
        </xdr:from>
        <xdr:to>
          <xdr:col>10</xdr:col>
          <xdr:colOff>266700</xdr:colOff>
          <xdr:row>13</xdr:row>
          <xdr:rowOff>238125</xdr:rowOff>
        </xdr:to>
        <xdr:sp macro="" textlink="">
          <xdr:nvSpPr>
            <xdr:cNvPr id="26645" name="Option Button 21" hidden="1">
              <a:extLst>
                <a:ext uri="{63B3BB69-23CF-44E3-9099-C40C66FF867C}">
                  <a14:compatExt spid="_x0000_s26645"/>
                </a:ext>
                <a:ext uri="{FF2B5EF4-FFF2-40B4-BE49-F238E27FC236}">
                  <a16:creationId xmlns:a16="http://schemas.microsoft.com/office/drawing/2014/main" id="{00000000-0008-0000-0600-000015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xdr:colOff>
          <xdr:row>14</xdr:row>
          <xdr:rowOff>28575</xdr:rowOff>
        </xdr:from>
        <xdr:to>
          <xdr:col>9</xdr:col>
          <xdr:colOff>504825</xdr:colOff>
          <xdr:row>14</xdr:row>
          <xdr:rowOff>152400</xdr:rowOff>
        </xdr:to>
        <xdr:sp macro="" textlink="">
          <xdr:nvSpPr>
            <xdr:cNvPr id="26646" name="Option Button 22" hidden="1">
              <a:extLst>
                <a:ext uri="{63B3BB69-23CF-44E3-9099-C40C66FF867C}">
                  <a14:compatExt spid="_x0000_s26646"/>
                </a:ext>
                <a:ext uri="{FF2B5EF4-FFF2-40B4-BE49-F238E27FC236}">
                  <a16:creationId xmlns:a16="http://schemas.microsoft.com/office/drawing/2014/main" id="{00000000-0008-0000-0600-000016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533400</xdr:colOff>
          <xdr:row>14</xdr:row>
          <xdr:rowOff>28575</xdr:rowOff>
        </xdr:from>
        <xdr:to>
          <xdr:col>10</xdr:col>
          <xdr:colOff>276225</xdr:colOff>
          <xdr:row>14</xdr:row>
          <xdr:rowOff>152400</xdr:rowOff>
        </xdr:to>
        <xdr:sp macro="" textlink="">
          <xdr:nvSpPr>
            <xdr:cNvPr id="26647" name="Option Button 23" hidden="1">
              <a:extLst>
                <a:ext uri="{63B3BB69-23CF-44E3-9099-C40C66FF867C}">
                  <a14:compatExt spid="_x0000_s26647"/>
                </a:ext>
                <a:ext uri="{FF2B5EF4-FFF2-40B4-BE49-F238E27FC236}">
                  <a16:creationId xmlns:a16="http://schemas.microsoft.com/office/drawing/2014/main" id="{00000000-0008-0000-0600-000017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xdr:colOff>
          <xdr:row>15</xdr:row>
          <xdr:rowOff>28575</xdr:rowOff>
        </xdr:from>
        <xdr:to>
          <xdr:col>9</xdr:col>
          <xdr:colOff>514350</xdr:colOff>
          <xdr:row>15</xdr:row>
          <xdr:rowOff>152400</xdr:rowOff>
        </xdr:to>
        <xdr:sp macro="" textlink="">
          <xdr:nvSpPr>
            <xdr:cNvPr id="26648" name="Option Button 24" hidden="1">
              <a:extLst>
                <a:ext uri="{63B3BB69-23CF-44E3-9099-C40C66FF867C}">
                  <a14:compatExt spid="_x0000_s26648"/>
                </a:ext>
                <a:ext uri="{FF2B5EF4-FFF2-40B4-BE49-F238E27FC236}">
                  <a16:creationId xmlns:a16="http://schemas.microsoft.com/office/drawing/2014/main" id="{00000000-0008-0000-0600-000018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542925</xdr:colOff>
          <xdr:row>15</xdr:row>
          <xdr:rowOff>28575</xdr:rowOff>
        </xdr:from>
        <xdr:to>
          <xdr:col>10</xdr:col>
          <xdr:colOff>285750</xdr:colOff>
          <xdr:row>15</xdr:row>
          <xdr:rowOff>161925</xdr:rowOff>
        </xdr:to>
        <xdr:sp macro="" textlink="">
          <xdr:nvSpPr>
            <xdr:cNvPr id="26649" name="Option Button 25" hidden="1">
              <a:extLst>
                <a:ext uri="{63B3BB69-23CF-44E3-9099-C40C66FF867C}">
                  <a14:compatExt spid="_x0000_s26649"/>
                </a:ext>
                <a:ext uri="{FF2B5EF4-FFF2-40B4-BE49-F238E27FC236}">
                  <a16:creationId xmlns:a16="http://schemas.microsoft.com/office/drawing/2014/main" id="{00000000-0008-0000-0600-000019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xdr:colOff>
          <xdr:row>16</xdr:row>
          <xdr:rowOff>38100</xdr:rowOff>
        </xdr:from>
        <xdr:to>
          <xdr:col>9</xdr:col>
          <xdr:colOff>495300</xdr:colOff>
          <xdr:row>16</xdr:row>
          <xdr:rowOff>152400</xdr:rowOff>
        </xdr:to>
        <xdr:sp macro="" textlink="">
          <xdr:nvSpPr>
            <xdr:cNvPr id="26650" name="Option Button 26" hidden="1">
              <a:extLst>
                <a:ext uri="{63B3BB69-23CF-44E3-9099-C40C66FF867C}">
                  <a14:compatExt spid="_x0000_s26650"/>
                </a:ext>
                <a:ext uri="{FF2B5EF4-FFF2-40B4-BE49-F238E27FC236}">
                  <a16:creationId xmlns:a16="http://schemas.microsoft.com/office/drawing/2014/main" id="{00000000-0008-0000-0600-00001A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542925</xdr:colOff>
          <xdr:row>16</xdr:row>
          <xdr:rowOff>38100</xdr:rowOff>
        </xdr:from>
        <xdr:to>
          <xdr:col>10</xdr:col>
          <xdr:colOff>285750</xdr:colOff>
          <xdr:row>16</xdr:row>
          <xdr:rowOff>161925</xdr:rowOff>
        </xdr:to>
        <xdr:sp macro="" textlink="">
          <xdr:nvSpPr>
            <xdr:cNvPr id="26651" name="Option Button 27" hidden="1">
              <a:extLst>
                <a:ext uri="{63B3BB69-23CF-44E3-9099-C40C66FF867C}">
                  <a14:compatExt spid="_x0000_s26651"/>
                </a:ext>
                <a:ext uri="{FF2B5EF4-FFF2-40B4-BE49-F238E27FC236}">
                  <a16:creationId xmlns:a16="http://schemas.microsoft.com/office/drawing/2014/main" id="{00000000-0008-0000-0600-00001B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Нет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9</xdr:row>
          <xdr:rowOff>0</xdr:rowOff>
        </xdr:from>
        <xdr:to>
          <xdr:col>11</xdr:col>
          <xdr:colOff>0</xdr:colOff>
          <xdr:row>10</xdr:row>
          <xdr:rowOff>0</xdr:rowOff>
        </xdr:to>
        <xdr:sp macro="" textlink="">
          <xdr:nvSpPr>
            <xdr:cNvPr id="26656" name="Group Box 32" hidden="1">
              <a:extLst>
                <a:ext uri="{63B3BB69-23CF-44E3-9099-C40C66FF867C}">
                  <a14:compatExt spid="_x0000_s26656"/>
                </a:ext>
                <a:ext uri="{FF2B5EF4-FFF2-40B4-BE49-F238E27FC236}">
                  <a16:creationId xmlns:a16="http://schemas.microsoft.com/office/drawing/2014/main" id="{00000000-0008-0000-0600-000020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10</xdr:row>
          <xdr:rowOff>0</xdr:rowOff>
        </xdr:from>
        <xdr:to>
          <xdr:col>11</xdr:col>
          <xdr:colOff>0</xdr:colOff>
          <xdr:row>11</xdr:row>
          <xdr:rowOff>0</xdr:rowOff>
        </xdr:to>
        <xdr:sp macro="" textlink="">
          <xdr:nvSpPr>
            <xdr:cNvPr id="26657" name="Group Box 33" hidden="1">
              <a:extLst>
                <a:ext uri="{63B3BB69-23CF-44E3-9099-C40C66FF867C}">
                  <a14:compatExt spid="_x0000_s26657"/>
                </a:ext>
                <a:ext uri="{FF2B5EF4-FFF2-40B4-BE49-F238E27FC236}">
                  <a16:creationId xmlns:a16="http://schemas.microsoft.com/office/drawing/2014/main" id="{00000000-0008-0000-0600-000021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11</xdr:row>
          <xdr:rowOff>0</xdr:rowOff>
        </xdr:from>
        <xdr:to>
          <xdr:col>11</xdr:col>
          <xdr:colOff>0</xdr:colOff>
          <xdr:row>12</xdr:row>
          <xdr:rowOff>0</xdr:rowOff>
        </xdr:to>
        <xdr:sp macro="" textlink="">
          <xdr:nvSpPr>
            <xdr:cNvPr id="26658" name="Group Box 34" hidden="1">
              <a:extLst>
                <a:ext uri="{63B3BB69-23CF-44E3-9099-C40C66FF867C}">
                  <a14:compatExt spid="_x0000_s26658"/>
                </a:ext>
                <a:ext uri="{FF2B5EF4-FFF2-40B4-BE49-F238E27FC236}">
                  <a16:creationId xmlns:a16="http://schemas.microsoft.com/office/drawing/2014/main" id="{00000000-0008-0000-0600-000022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12</xdr:row>
          <xdr:rowOff>0</xdr:rowOff>
        </xdr:from>
        <xdr:to>
          <xdr:col>11</xdr:col>
          <xdr:colOff>0</xdr:colOff>
          <xdr:row>13</xdr:row>
          <xdr:rowOff>0</xdr:rowOff>
        </xdr:to>
        <xdr:sp macro="" textlink="">
          <xdr:nvSpPr>
            <xdr:cNvPr id="26659" name="Group Box 35" hidden="1">
              <a:extLst>
                <a:ext uri="{63B3BB69-23CF-44E3-9099-C40C66FF867C}">
                  <a14:compatExt spid="_x0000_s26659"/>
                </a:ext>
                <a:ext uri="{FF2B5EF4-FFF2-40B4-BE49-F238E27FC236}">
                  <a16:creationId xmlns:a16="http://schemas.microsoft.com/office/drawing/2014/main" id="{00000000-0008-0000-0600-000023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13</xdr:row>
          <xdr:rowOff>0</xdr:rowOff>
        </xdr:from>
        <xdr:to>
          <xdr:col>11</xdr:col>
          <xdr:colOff>0</xdr:colOff>
          <xdr:row>14</xdr:row>
          <xdr:rowOff>0</xdr:rowOff>
        </xdr:to>
        <xdr:sp macro="" textlink="">
          <xdr:nvSpPr>
            <xdr:cNvPr id="26660" name="Group Box 36" hidden="1">
              <a:extLst>
                <a:ext uri="{63B3BB69-23CF-44E3-9099-C40C66FF867C}">
                  <a14:compatExt spid="_x0000_s26660"/>
                </a:ext>
                <a:ext uri="{FF2B5EF4-FFF2-40B4-BE49-F238E27FC236}">
                  <a16:creationId xmlns:a16="http://schemas.microsoft.com/office/drawing/2014/main" id="{00000000-0008-0000-0600-000024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16</xdr:row>
          <xdr:rowOff>0</xdr:rowOff>
        </xdr:from>
        <xdr:to>
          <xdr:col>11</xdr:col>
          <xdr:colOff>0</xdr:colOff>
          <xdr:row>17</xdr:row>
          <xdr:rowOff>0</xdr:rowOff>
        </xdr:to>
        <xdr:sp macro="" textlink="">
          <xdr:nvSpPr>
            <xdr:cNvPr id="26663" name="Group Box 39" hidden="1">
              <a:extLst>
                <a:ext uri="{63B3BB69-23CF-44E3-9099-C40C66FF867C}">
                  <a14:compatExt spid="_x0000_s26663"/>
                </a:ext>
                <a:ext uri="{FF2B5EF4-FFF2-40B4-BE49-F238E27FC236}">
                  <a16:creationId xmlns:a16="http://schemas.microsoft.com/office/drawing/2014/main" id="{00000000-0008-0000-0600-000027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15</xdr:row>
          <xdr:rowOff>0</xdr:rowOff>
        </xdr:from>
        <xdr:to>
          <xdr:col>11</xdr:col>
          <xdr:colOff>0</xdr:colOff>
          <xdr:row>16</xdr:row>
          <xdr:rowOff>0</xdr:rowOff>
        </xdr:to>
        <xdr:sp macro="" textlink="">
          <xdr:nvSpPr>
            <xdr:cNvPr id="26664" name="Group Box 40" hidden="1">
              <a:extLst>
                <a:ext uri="{63B3BB69-23CF-44E3-9099-C40C66FF867C}">
                  <a14:compatExt spid="_x0000_s26664"/>
                </a:ext>
                <a:ext uri="{FF2B5EF4-FFF2-40B4-BE49-F238E27FC236}">
                  <a16:creationId xmlns:a16="http://schemas.microsoft.com/office/drawing/2014/main" id="{00000000-0008-0000-0600-000028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14</xdr:row>
          <xdr:rowOff>0</xdr:rowOff>
        </xdr:from>
        <xdr:to>
          <xdr:col>11</xdr:col>
          <xdr:colOff>0</xdr:colOff>
          <xdr:row>15</xdr:row>
          <xdr:rowOff>0</xdr:rowOff>
        </xdr:to>
        <xdr:sp macro="" textlink="">
          <xdr:nvSpPr>
            <xdr:cNvPr id="26665" name="Group Box 41" hidden="1">
              <a:extLst>
                <a:ext uri="{63B3BB69-23CF-44E3-9099-C40C66FF867C}">
                  <a14:compatExt spid="_x0000_s26665"/>
                </a:ext>
                <a:ext uri="{FF2B5EF4-FFF2-40B4-BE49-F238E27FC236}">
                  <a16:creationId xmlns:a16="http://schemas.microsoft.com/office/drawing/2014/main" id="{00000000-0008-0000-0600-000029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4</xdr:row>
          <xdr:rowOff>0</xdr:rowOff>
        </xdr:from>
        <xdr:to>
          <xdr:col>11</xdr:col>
          <xdr:colOff>0</xdr:colOff>
          <xdr:row>5</xdr:row>
          <xdr:rowOff>0</xdr:rowOff>
        </xdr:to>
        <xdr:sp macro="" textlink="">
          <xdr:nvSpPr>
            <xdr:cNvPr id="26667" name="Group Box 43" hidden="1">
              <a:extLst>
                <a:ext uri="{63B3BB69-23CF-44E3-9099-C40C66FF867C}">
                  <a14:compatExt spid="_x0000_s26667"/>
                </a:ext>
                <a:ext uri="{FF2B5EF4-FFF2-40B4-BE49-F238E27FC236}">
                  <a16:creationId xmlns:a16="http://schemas.microsoft.com/office/drawing/2014/main" id="{00000000-0008-0000-0600-00002B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5</xdr:row>
          <xdr:rowOff>0</xdr:rowOff>
        </xdr:from>
        <xdr:to>
          <xdr:col>11</xdr:col>
          <xdr:colOff>0</xdr:colOff>
          <xdr:row>6</xdr:row>
          <xdr:rowOff>0</xdr:rowOff>
        </xdr:to>
        <xdr:sp macro="" textlink="">
          <xdr:nvSpPr>
            <xdr:cNvPr id="26668" name="Group Box 44" hidden="1">
              <a:extLst>
                <a:ext uri="{63B3BB69-23CF-44E3-9099-C40C66FF867C}">
                  <a14:compatExt spid="_x0000_s26668"/>
                </a:ext>
                <a:ext uri="{FF2B5EF4-FFF2-40B4-BE49-F238E27FC236}">
                  <a16:creationId xmlns:a16="http://schemas.microsoft.com/office/drawing/2014/main" id="{00000000-0008-0000-0600-00002C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6</xdr:row>
          <xdr:rowOff>0</xdr:rowOff>
        </xdr:from>
        <xdr:to>
          <xdr:col>11</xdr:col>
          <xdr:colOff>0</xdr:colOff>
          <xdr:row>7</xdr:row>
          <xdr:rowOff>0</xdr:rowOff>
        </xdr:to>
        <xdr:sp macro="" textlink="">
          <xdr:nvSpPr>
            <xdr:cNvPr id="26669" name="Group Box 45" hidden="1">
              <a:extLst>
                <a:ext uri="{63B3BB69-23CF-44E3-9099-C40C66FF867C}">
                  <a14:compatExt spid="_x0000_s26669"/>
                </a:ext>
                <a:ext uri="{FF2B5EF4-FFF2-40B4-BE49-F238E27FC236}">
                  <a16:creationId xmlns:a16="http://schemas.microsoft.com/office/drawing/2014/main" id="{00000000-0008-0000-0600-00002D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8</xdr:row>
          <xdr:rowOff>0</xdr:rowOff>
        </xdr:from>
        <xdr:to>
          <xdr:col>11</xdr:col>
          <xdr:colOff>0</xdr:colOff>
          <xdr:row>9</xdr:row>
          <xdr:rowOff>0</xdr:rowOff>
        </xdr:to>
        <xdr:sp macro="" textlink="">
          <xdr:nvSpPr>
            <xdr:cNvPr id="26670" name="Group Box 46" hidden="1">
              <a:extLst>
                <a:ext uri="{63B3BB69-23CF-44E3-9099-C40C66FF867C}">
                  <a14:compatExt spid="_x0000_s26670"/>
                </a:ext>
                <a:ext uri="{FF2B5EF4-FFF2-40B4-BE49-F238E27FC236}">
                  <a16:creationId xmlns:a16="http://schemas.microsoft.com/office/drawing/2014/main" id="{00000000-0008-0000-0600-00002E6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а1" displayName="Таблица1" ref="A1:C69" totalsRowShown="0">
  <autoFilter ref="A1:C69" xr:uid="{00000000-0009-0000-0100-000001000000}"/>
  <tableColumns count="3">
    <tableColumn id="1" xr3:uid="{00000000-0010-0000-0000-000001000000}" name="Номер" dataDxfId="2"/>
    <tableColumn id="2" xr3:uid="{00000000-0010-0000-0000-000002000000}" name="Отрасль" dataDxfId="1"/>
    <tableColumn id="3" xr3:uid="{00000000-0010-0000-0000-000003000000}" name="Суботрасль"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12" Type="http://schemas.openxmlformats.org/officeDocument/2006/relationships/ctrlProp" Target="../ctrlProps/ctrlProp109.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24.xml"/><Relationship Id="rId13" Type="http://schemas.openxmlformats.org/officeDocument/2006/relationships/ctrlProp" Target="../ctrlProps/ctrlProp129.xml"/><Relationship Id="rId3" Type="http://schemas.openxmlformats.org/officeDocument/2006/relationships/vmlDrawing" Target="../drawings/vmlDrawing2.vml"/><Relationship Id="rId7" Type="http://schemas.openxmlformats.org/officeDocument/2006/relationships/ctrlProp" Target="../ctrlProps/ctrlProp123.xml"/><Relationship Id="rId12" Type="http://schemas.openxmlformats.org/officeDocument/2006/relationships/ctrlProp" Target="../ctrlProps/ctrlProp12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22.xml"/><Relationship Id="rId11" Type="http://schemas.openxmlformats.org/officeDocument/2006/relationships/ctrlProp" Target="../ctrlProps/ctrlProp127.xml"/><Relationship Id="rId5" Type="http://schemas.openxmlformats.org/officeDocument/2006/relationships/ctrlProp" Target="../ctrlProps/ctrlProp121.xml"/><Relationship Id="rId10" Type="http://schemas.openxmlformats.org/officeDocument/2006/relationships/ctrlProp" Target="../ctrlProps/ctrlProp126.xml"/><Relationship Id="rId4" Type="http://schemas.openxmlformats.org/officeDocument/2006/relationships/ctrlProp" Target="../ctrlProps/ctrlProp120.xml"/><Relationship Id="rId9" Type="http://schemas.openxmlformats.org/officeDocument/2006/relationships/ctrlProp" Target="../ctrlProps/ctrlProp125.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trlProp" Target="../ctrlProps/ctrlProp133.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32.xml"/><Relationship Id="rId5" Type="http://schemas.openxmlformats.org/officeDocument/2006/relationships/ctrlProp" Target="../ctrlProps/ctrlProp131.xml"/><Relationship Id="rId4" Type="http://schemas.openxmlformats.org/officeDocument/2006/relationships/ctrlProp" Target="../ctrlProps/ctrlProp130.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38.xml"/><Relationship Id="rId3" Type="http://schemas.openxmlformats.org/officeDocument/2006/relationships/vmlDrawing" Target="../drawings/vmlDrawing4.vml"/><Relationship Id="rId7" Type="http://schemas.openxmlformats.org/officeDocument/2006/relationships/ctrlProp" Target="../ctrlProps/ctrlProp137.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36.xml"/><Relationship Id="rId5" Type="http://schemas.openxmlformats.org/officeDocument/2006/relationships/ctrlProp" Target="../ctrlProps/ctrlProp135.xml"/><Relationship Id="rId4" Type="http://schemas.openxmlformats.org/officeDocument/2006/relationships/ctrlProp" Target="../ctrlProps/ctrlProp134.xml"/><Relationship Id="rId9" Type="http://schemas.openxmlformats.org/officeDocument/2006/relationships/ctrlProp" Target="../ctrlProps/ctrlProp139.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144.xml"/><Relationship Id="rId13" Type="http://schemas.openxmlformats.org/officeDocument/2006/relationships/ctrlProp" Target="../ctrlProps/ctrlProp149.xml"/><Relationship Id="rId18" Type="http://schemas.openxmlformats.org/officeDocument/2006/relationships/ctrlProp" Target="../ctrlProps/ctrlProp154.xml"/><Relationship Id="rId3" Type="http://schemas.openxmlformats.org/officeDocument/2006/relationships/vmlDrawing" Target="../drawings/vmlDrawing5.vml"/><Relationship Id="rId7" Type="http://schemas.openxmlformats.org/officeDocument/2006/relationships/ctrlProp" Target="../ctrlProps/ctrlProp143.xml"/><Relationship Id="rId12" Type="http://schemas.openxmlformats.org/officeDocument/2006/relationships/ctrlProp" Target="../ctrlProps/ctrlProp148.xml"/><Relationship Id="rId17" Type="http://schemas.openxmlformats.org/officeDocument/2006/relationships/ctrlProp" Target="../ctrlProps/ctrlProp153.xml"/><Relationship Id="rId2" Type="http://schemas.openxmlformats.org/officeDocument/2006/relationships/drawing" Target="../drawings/drawing5.xml"/><Relationship Id="rId16" Type="http://schemas.openxmlformats.org/officeDocument/2006/relationships/ctrlProp" Target="../ctrlProps/ctrlProp152.xml"/><Relationship Id="rId1" Type="http://schemas.openxmlformats.org/officeDocument/2006/relationships/printerSettings" Target="../printerSettings/printerSettings5.bin"/><Relationship Id="rId6" Type="http://schemas.openxmlformats.org/officeDocument/2006/relationships/ctrlProp" Target="../ctrlProps/ctrlProp142.xml"/><Relationship Id="rId11" Type="http://schemas.openxmlformats.org/officeDocument/2006/relationships/ctrlProp" Target="../ctrlProps/ctrlProp147.xml"/><Relationship Id="rId5" Type="http://schemas.openxmlformats.org/officeDocument/2006/relationships/ctrlProp" Target="../ctrlProps/ctrlProp141.xml"/><Relationship Id="rId15" Type="http://schemas.openxmlformats.org/officeDocument/2006/relationships/ctrlProp" Target="../ctrlProps/ctrlProp151.xml"/><Relationship Id="rId10" Type="http://schemas.openxmlformats.org/officeDocument/2006/relationships/ctrlProp" Target="../ctrlProps/ctrlProp146.xml"/><Relationship Id="rId4" Type="http://schemas.openxmlformats.org/officeDocument/2006/relationships/ctrlProp" Target="../ctrlProps/ctrlProp140.xml"/><Relationship Id="rId9" Type="http://schemas.openxmlformats.org/officeDocument/2006/relationships/ctrlProp" Target="../ctrlProps/ctrlProp145.xml"/><Relationship Id="rId14" Type="http://schemas.openxmlformats.org/officeDocument/2006/relationships/ctrlProp" Target="../ctrlProps/ctrlProp150.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59.xml"/><Relationship Id="rId13" Type="http://schemas.openxmlformats.org/officeDocument/2006/relationships/ctrlProp" Target="../ctrlProps/ctrlProp164.xml"/><Relationship Id="rId18" Type="http://schemas.openxmlformats.org/officeDocument/2006/relationships/ctrlProp" Target="../ctrlProps/ctrlProp169.xml"/><Relationship Id="rId3" Type="http://schemas.openxmlformats.org/officeDocument/2006/relationships/vmlDrawing" Target="../drawings/vmlDrawing6.vml"/><Relationship Id="rId21" Type="http://schemas.openxmlformats.org/officeDocument/2006/relationships/ctrlProp" Target="../ctrlProps/ctrlProp172.xml"/><Relationship Id="rId7" Type="http://schemas.openxmlformats.org/officeDocument/2006/relationships/ctrlProp" Target="../ctrlProps/ctrlProp158.xml"/><Relationship Id="rId12" Type="http://schemas.openxmlformats.org/officeDocument/2006/relationships/ctrlProp" Target="../ctrlProps/ctrlProp163.xml"/><Relationship Id="rId17" Type="http://schemas.openxmlformats.org/officeDocument/2006/relationships/ctrlProp" Target="../ctrlProps/ctrlProp168.xml"/><Relationship Id="rId2" Type="http://schemas.openxmlformats.org/officeDocument/2006/relationships/drawing" Target="../drawings/drawing6.xml"/><Relationship Id="rId16" Type="http://schemas.openxmlformats.org/officeDocument/2006/relationships/ctrlProp" Target="../ctrlProps/ctrlProp167.xml"/><Relationship Id="rId20" Type="http://schemas.openxmlformats.org/officeDocument/2006/relationships/ctrlProp" Target="../ctrlProps/ctrlProp171.xml"/><Relationship Id="rId1" Type="http://schemas.openxmlformats.org/officeDocument/2006/relationships/printerSettings" Target="../printerSettings/printerSettings6.bin"/><Relationship Id="rId6" Type="http://schemas.openxmlformats.org/officeDocument/2006/relationships/ctrlProp" Target="../ctrlProps/ctrlProp157.xml"/><Relationship Id="rId11" Type="http://schemas.openxmlformats.org/officeDocument/2006/relationships/ctrlProp" Target="../ctrlProps/ctrlProp162.xml"/><Relationship Id="rId5" Type="http://schemas.openxmlformats.org/officeDocument/2006/relationships/ctrlProp" Target="../ctrlProps/ctrlProp156.xml"/><Relationship Id="rId15" Type="http://schemas.openxmlformats.org/officeDocument/2006/relationships/ctrlProp" Target="../ctrlProps/ctrlProp166.xml"/><Relationship Id="rId23" Type="http://schemas.openxmlformats.org/officeDocument/2006/relationships/ctrlProp" Target="../ctrlProps/ctrlProp174.xml"/><Relationship Id="rId10" Type="http://schemas.openxmlformats.org/officeDocument/2006/relationships/ctrlProp" Target="../ctrlProps/ctrlProp161.xml"/><Relationship Id="rId19" Type="http://schemas.openxmlformats.org/officeDocument/2006/relationships/ctrlProp" Target="../ctrlProps/ctrlProp170.xml"/><Relationship Id="rId4" Type="http://schemas.openxmlformats.org/officeDocument/2006/relationships/ctrlProp" Target="../ctrlProps/ctrlProp155.xml"/><Relationship Id="rId9" Type="http://schemas.openxmlformats.org/officeDocument/2006/relationships/ctrlProp" Target="../ctrlProps/ctrlProp160.xml"/><Relationship Id="rId14" Type="http://schemas.openxmlformats.org/officeDocument/2006/relationships/ctrlProp" Target="../ctrlProps/ctrlProp165.xml"/><Relationship Id="rId22" Type="http://schemas.openxmlformats.org/officeDocument/2006/relationships/ctrlProp" Target="../ctrlProps/ctrlProp173.xml"/></Relationships>
</file>

<file path=xl/worksheets/_rels/sheet7.xml.rels><?xml version="1.0" encoding="UTF-8" standalone="yes"?>
<Relationships xmlns="http://schemas.openxmlformats.org/package/2006/relationships"><Relationship Id="rId13" Type="http://schemas.openxmlformats.org/officeDocument/2006/relationships/ctrlProp" Target="../ctrlProps/ctrlProp184.xml"/><Relationship Id="rId18" Type="http://schemas.openxmlformats.org/officeDocument/2006/relationships/ctrlProp" Target="../ctrlProps/ctrlProp189.xml"/><Relationship Id="rId26" Type="http://schemas.openxmlformats.org/officeDocument/2006/relationships/ctrlProp" Target="../ctrlProps/ctrlProp197.xml"/><Relationship Id="rId39" Type="http://schemas.openxmlformats.org/officeDocument/2006/relationships/ctrlProp" Target="../ctrlProps/ctrlProp210.xml"/><Relationship Id="rId21" Type="http://schemas.openxmlformats.org/officeDocument/2006/relationships/ctrlProp" Target="../ctrlProps/ctrlProp192.xml"/><Relationship Id="rId34" Type="http://schemas.openxmlformats.org/officeDocument/2006/relationships/ctrlProp" Target="../ctrlProps/ctrlProp205.xml"/><Relationship Id="rId7" Type="http://schemas.openxmlformats.org/officeDocument/2006/relationships/ctrlProp" Target="../ctrlProps/ctrlProp178.xml"/><Relationship Id="rId12" Type="http://schemas.openxmlformats.org/officeDocument/2006/relationships/ctrlProp" Target="../ctrlProps/ctrlProp183.xml"/><Relationship Id="rId17" Type="http://schemas.openxmlformats.org/officeDocument/2006/relationships/ctrlProp" Target="../ctrlProps/ctrlProp188.xml"/><Relationship Id="rId25" Type="http://schemas.openxmlformats.org/officeDocument/2006/relationships/ctrlProp" Target="../ctrlProps/ctrlProp196.xml"/><Relationship Id="rId33" Type="http://schemas.openxmlformats.org/officeDocument/2006/relationships/ctrlProp" Target="../ctrlProps/ctrlProp204.xml"/><Relationship Id="rId38" Type="http://schemas.openxmlformats.org/officeDocument/2006/relationships/ctrlProp" Target="../ctrlProps/ctrlProp209.xml"/><Relationship Id="rId2" Type="http://schemas.openxmlformats.org/officeDocument/2006/relationships/drawing" Target="../drawings/drawing7.xml"/><Relationship Id="rId16" Type="http://schemas.openxmlformats.org/officeDocument/2006/relationships/ctrlProp" Target="../ctrlProps/ctrlProp187.xml"/><Relationship Id="rId20" Type="http://schemas.openxmlformats.org/officeDocument/2006/relationships/ctrlProp" Target="../ctrlProps/ctrlProp191.xml"/><Relationship Id="rId29" Type="http://schemas.openxmlformats.org/officeDocument/2006/relationships/ctrlProp" Target="../ctrlProps/ctrlProp200.xml"/><Relationship Id="rId1" Type="http://schemas.openxmlformats.org/officeDocument/2006/relationships/printerSettings" Target="../printerSettings/printerSettings7.bin"/><Relationship Id="rId6" Type="http://schemas.openxmlformats.org/officeDocument/2006/relationships/ctrlProp" Target="../ctrlProps/ctrlProp177.xml"/><Relationship Id="rId11" Type="http://schemas.openxmlformats.org/officeDocument/2006/relationships/ctrlProp" Target="../ctrlProps/ctrlProp182.xml"/><Relationship Id="rId24" Type="http://schemas.openxmlformats.org/officeDocument/2006/relationships/ctrlProp" Target="../ctrlProps/ctrlProp195.xml"/><Relationship Id="rId32" Type="http://schemas.openxmlformats.org/officeDocument/2006/relationships/ctrlProp" Target="../ctrlProps/ctrlProp203.xml"/><Relationship Id="rId37" Type="http://schemas.openxmlformats.org/officeDocument/2006/relationships/ctrlProp" Target="../ctrlProps/ctrlProp208.xml"/><Relationship Id="rId5" Type="http://schemas.openxmlformats.org/officeDocument/2006/relationships/ctrlProp" Target="../ctrlProps/ctrlProp176.xml"/><Relationship Id="rId15" Type="http://schemas.openxmlformats.org/officeDocument/2006/relationships/ctrlProp" Target="../ctrlProps/ctrlProp186.xml"/><Relationship Id="rId23" Type="http://schemas.openxmlformats.org/officeDocument/2006/relationships/ctrlProp" Target="../ctrlProps/ctrlProp194.xml"/><Relationship Id="rId28" Type="http://schemas.openxmlformats.org/officeDocument/2006/relationships/ctrlProp" Target="../ctrlProps/ctrlProp199.xml"/><Relationship Id="rId36" Type="http://schemas.openxmlformats.org/officeDocument/2006/relationships/ctrlProp" Target="../ctrlProps/ctrlProp207.xml"/><Relationship Id="rId10" Type="http://schemas.openxmlformats.org/officeDocument/2006/relationships/ctrlProp" Target="../ctrlProps/ctrlProp181.xml"/><Relationship Id="rId19" Type="http://schemas.openxmlformats.org/officeDocument/2006/relationships/ctrlProp" Target="../ctrlProps/ctrlProp190.xml"/><Relationship Id="rId31" Type="http://schemas.openxmlformats.org/officeDocument/2006/relationships/ctrlProp" Target="../ctrlProps/ctrlProp202.xml"/><Relationship Id="rId4" Type="http://schemas.openxmlformats.org/officeDocument/2006/relationships/ctrlProp" Target="../ctrlProps/ctrlProp175.xml"/><Relationship Id="rId9" Type="http://schemas.openxmlformats.org/officeDocument/2006/relationships/ctrlProp" Target="../ctrlProps/ctrlProp180.xml"/><Relationship Id="rId14" Type="http://schemas.openxmlformats.org/officeDocument/2006/relationships/ctrlProp" Target="../ctrlProps/ctrlProp185.xml"/><Relationship Id="rId22" Type="http://schemas.openxmlformats.org/officeDocument/2006/relationships/ctrlProp" Target="../ctrlProps/ctrlProp193.xml"/><Relationship Id="rId27" Type="http://schemas.openxmlformats.org/officeDocument/2006/relationships/ctrlProp" Target="../ctrlProps/ctrlProp198.xml"/><Relationship Id="rId30" Type="http://schemas.openxmlformats.org/officeDocument/2006/relationships/ctrlProp" Target="../ctrlProps/ctrlProp201.xml"/><Relationship Id="rId35" Type="http://schemas.openxmlformats.org/officeDocument/2006/relationships/ctrlProp" Target="../ctrlProps/ctrlProp206.xml"/><Relationship Id="rId8" Type="http://schemas.openxmlformats.org/officeDocument/2006/relationships/ctrlProp" Target="../ctrlProps/ctrlProp179.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M142"/>
  <sheetViews>
    <sheetView tabSelected="1" view="pageBreakPreview" topLeftCell="A4" zoomScale="85" zoomScaleNormal="85" zoomScaleSheetLayoutView="85" workbookViewId="0">
      <selection activeCell="J82" sqref="J82:K82"/>
    </sheetView>
  </sheetViews>
  <sheetFormatPr defaultColWidth="9.140625" defaultRowHeight="15"/>
  <cols>
    <col min="1" max="1" width="6.7109375" style="93" customWidth="1"/>
    <col min="2" max="11" width="10.7109375" style="94" customWidth="1"/>
    <col min="12" max="12" width="5.7109375" style="94" customWidth="1"/>
    <col min="13" max="13" width="5.7109375" style="95" customWidth="1"/>
    <col min="14" max="45" width="5.7109375" style="94" customWidth="1"/>
    <col min="46" max="16384" width="9.140625" style="94"/>
  </cols>
  <sheetData>
    <row r="1" spans="1:13" ht="99.95" customHeight="1">
      <c r="A1" s="118"/>
      <c r="B1" s="118"/>
      <c r="C1" s="118"/>
      <c r="D1" s="118"/>
      <c r="E1" s="118"/>
      <c r="F1" s="118"/>
      <c r="G1" s="118"/>
      <c r="H1" s="118"/>
      <c r="I1" s="118"/>
      <c r="J1" s="118"/>
      <c r="K1" s="118"/>
      <c r="L1" s="118"/>
    </row>
    <row r="2" spans="1:13" ht="30" customHeight="1">
      <c r="A2" s="119" t="s">
        <v>0</v>
      </c>
      <c r="B2" s="120"/>
      <c r="C2" s="120"/>
      <c r="D2" s="120"/>
      <c r="E2" s="120"/>
      <c r="F2" s="120"/>
      <c r="G2" s="120"/>
      <c r="H2" s="120"/>
      <c r="I2" s="120"/>
      <c r="J2" s="120"/>
      <c r="K2" s="121"/>
      <c r="L2" s="96"/>
    </row>
    <row r="3" spans="1:13" ht="5.0999999999999996" customHeight="1">
      <c r="A3" s="122"/>
      <c r="B3" s="122"/>
      <c r="C3" s="122"/>
      <c r="D3" s="122"/>
      <c r="E3" s="122"/>
      <c r="F3" s="122"/>
      <c r="G3" s="122"/>
      <c r="H3" s="122"/>
      <c r="I3" s="122"/>
      <c r="J3" s="122"/>
      <c r="K3" s="122"/>
      <c r="L3" s="96"/>
    </row>
    <row r="4" spans="1:13" ht="80.099999999999994" customHeight="1">
      <c r="A4" s="123" t="s">
        <v>1</v>
      </c>
      <c r="B4" s="124"/>
      <c r="C4" s="124"/>
      <c r="D4" s="124"/>
      <c r="E4" s="124"/>
      <c r="F4" s="124"/>
      <c r="G4" s="124"/>
      <c r="H4" s="124"/>
      <c r="I4" s="124"/>
      <c r="J4" s="124"/>
      <c r="K4" s="125"/>
      <c r="M4" s="102"/>
    </row>
    <row r="5" spans="1:13" ht="5.0999999999999996" customHeight="1">
      <c r="A5" s="126"/>
      <c r="B5" s="126"/>
      <c r="C5" s="126"/>
      <c r="D5" s="126"/>
      <c r="E5" s="126"/>
      <c r="F5" s="126"/>
      <c r="G5" s="126"/>
      <c r="H5" s="126"/>
      <c r="I5" s="126"/>
      <c r="J5" s="126"/>
      <c r="K5" s="126"/>
      <c r="M5" s="102"/>
    </row>
    <row r="6" spans="1:13" ht="15.75">
      <c r="A6" s="419" t="s">
        <v>2</v>
      </c>
      <c r="B6" s="127" t="s">
        <v>3</v>
      </c>
      <c r="C6" s="128"/>
      <c r="D6" s="128"/>
      <c r="E6" s="128"/>
      <c r="F6" s="128"/>
      <c r="G6" s="128"/>
      <c r="H6" s="128"/>
      <c r="I6" s="128"/>
      <c r="J6" s="128"/>
      <c r="K6" s="129"/>
    </row>
    <row r="7" spans="1:13" ht="30" customHeight="1">
      <c r="A7" s="420"/>
      <c r="B7" s="130" t="s">
        <v>4</v>
      </c>
      <c r="C7" s="131"/>
      <c r="D7" s="132"/>
      <c r="E7" s="133"/>
      <c r="F7" s="134"/>
      <c r="G7" s="134"/>
      <c r="H7" s="134"/>
      <c r="I7" s="134"/>
      <c r="J7" s="134"/>
      <c r="K7" s="135"/>
    </row>
    <row r="8" spans="1:13" ht="30" customHeight="1">
      <c r="A8" s="420"/>
      <c r="B8" s="136" t="s">
        <v>5</v>
      </c>
      <c r="C8" s="137"/>
      <c r="D8" s="138"/>
      <c r="E8" s="139"/>
      <c r="F8" s="140"/>
      <c r="G8" s="140"/>
      <c r="H8" s="140"/>
      <c r="I8" s="140"/>
      <c r="J8" s="140"/>
      <c r="K8" s="141"/>
    </row>
    <row r="9" spans="1:13" ht="15" customHeight="1">
      <c r="A9" s="420"/>
      <c r="B9" s="142" t="s">
        <v>6</v>
      </c>
      <c r="C9" s="131"/>
      <c r="D9" s="132"/>
      <c r="E9" s="143"/>
      <c r="F9" s="144"/>
      <c r="G9" s="144"/>
      <c r="H9" s="144"/>
      <c r="I9" s="144"/>
      <c r="J9" s="144"/>
      <c r="K9" s="145"/>
    </row>
    <row r="10" spans="1:13" ht="15" customHeight="1">
      <c r="A10" s="420"/>
      <c r="B10" s="142" t="s">
        <v>7</v>
      </c>
      <c r="C10" s="131"/>
      <c r="D10" s="132"/>
      <c r="E10" s="139"/>
      <c r="F10" s="146"/>
      <c r="G10" s="140"/>
      <c r="H10" s="140"/>
      <c r="I10" s="140"/>
      <c r="J10" s="140"/>
      <c r="K10" s="141"/>
    </row>
    <row r="11" spans="1:13" ht="15" customHeight="1">
      <c r="A11" s="420"/>
      <c r="B11" s="437" t="s">
        <v>8</v>
      </c>
      <c r="C11" s="133"/>
      <c r="D11" s="134"/>
      <c r="E11" s="444"/>
      <c r="F11" s="439" t="s">
        <v>9</v>
      </c>
      <c r="G11" s="147"/>
      <c r="H11" s="146"/>
      <c r="I11" s="146"/>
      <c r="J11" s="146"/>
      <c r="K11" s="148"/>
    </row>
    <row r="12" spans="1:13" ht="15" customHeight="1">
      <c r="A12" s="421"/>
      <c r="B12" s="438"/>
      <c r="C12" s="445"/>
      <c r="D12" s="189"/>
      <c r="E12" s="446"/>
      <c r="F12" s="440"/>
      <c r="G12" s="149" t="s">
        <v>10</v>
      </c>
      <c r="H12" s="150"/>
      <c r="I12" s="150"/>
      <c r="J12" s="150"/>
      <c r="K12" s="151"/>
    </row>
    <row r="13" spans="1:13" ht="30" customHeight="1">
      <c r="A13" s="422" t="s">
        <v>11</v>
      </c>
      <c r="B13" s="152" t="s">
        <v>12</v>
      </c>
      <c r="C13" s="153"/>
      <c r="D13" s="153"/>
      <c r="E13" s="153"/>
      <c r="F13" s="153"/>
      <c r="G13" s="153"/>
      <c r="H13" s="153"/>
      <c r="I13" s="153"/>
      <c r="J13" s="153"/>
      <c r="K13" s="154"/>
    </row>
    <row r="14" spans="1:13" ht="30" customHeight="1">
      <c r="A14" s="423"/>
      <c r="B14" s="130" t="s">
        <v>13</v>
      </c>
      <c r="C14" s="131"/>
      <c r="D14" s="132"/>
      <c r="E14" s="155" t="s">
        <v>14</v>
      </c>
      <c r="F14" s="156"/>
      <c r="G14" s="156"/>
      <c r="H14" s="156"/>
      <c r="I14" s="156"/>
      <c r="J14" s="156"/>
      <c r="K14" s="157"/>
    </row>
    <row r="15" spans="1:13" ht="30" customHeight="1">
      <c r="A15" s="423"/>
      <c r="B15" s="130" t="s">
        <v>5</v>
      </c>
      <c r="C15" s="131"/>
      <c r="D15" s="132"/>
      <c r="E15" s="158"/>
      <c r="F15" s="159"/>
      <c r="G15" s="159"/>
      <c r="H15" s="159"/>
      <c r="I15" s="159"/>
      <c r="J15" s="159"/>
      <c r="K15" s="160"/>
    </row>
    <row r="16" spans="1:13">
      <c r="A16" s="423"/>
      <c r="B16" s="130" t="s">
        <v>6</v>
      </c>
      <c r="C16" s="131"/>
      <c r="D16" s="132"/>
      <c r="E16" s="143" t="s">
        <v>15</v>
      </c>
      <c r="F16" s="144"/>
      <c r="G16" s="144"/>
      <c r="H16" s="144"/>
      <c r="I16" s="144"/>
      <c r="J16" s="144"/>
      <c r="K16" s="145"/>
    </row>
    <row r="17" spans="1:11">
      <c r="A17" s="423"/>
      <c r="B17" s="130" t="s">
        <v>16</v>
      </c>
      <c r="C17" s="131"/>
      <c r="D17" s="132"/>
      <c r="E17" s="139"/>
      <c r="F17" s="140"/>
      <c r="G17" s="146"/>
      <c r="H17" s="146"/>
      <c r="I17" s="140"/>
      <c r="J17" s="146"/>
      <c r="K17" s="141"/>
    </row>
    <row r="18" spans="1:11">
      <c r="A18" s="423"/>
      <c r="B18" s="130" t="s">
        <v>17</v>
      </c>
      <c r="C18" s="131"/>
      <c r="D18" s="132"/>
      <c r="E18" s="161"/>
      <c r="F18" s="162"/>
      <c r="G18" s="130" t="s">
        <v>18</v>
      </c>
      <c r="H18" s="132"/>
      <c r="I18" s="103"/>
      <c r="J18" s="99" t="s">
        <v>19</v>
      </c>
      <c r="K18" s="104"/>
    </row>
    <row r="19" spans="1:11">
      <c r="A19" s="423"/>
      <c r="B19" s="130" t="s">
        <v>20</v>
      </c>
      <c r="C19" s="131"/>
      <c r="D19" s="131"/>
      <c r="E19" s="131"/>
      <c r="F19" s="131"/>
      <c r="G19" s="131"/>
      <c r="H19" s="131"/>
      <c r="I19" s="131"/>
      <c r="J19" s="131"/>
      <c r="K19" s="132"/>
    </row>
    <row r="20" spans="1:11" ht="39.950000000000003" customHeight="1">
      <c r="A20" s="423"/>
      <c r="B20" s="133"/>
      <c r="C20" s="134"/>
      <c r="D20" s="134"/>
      <c r="E20" s="134"/>
      <c r="F20" s="134"/>
      <c r="G20" s="134"/>
      <c r="H20" s="134"/>
      <c r="I20" s="134"/>
      <c r="J20" s="134"/>
      <c r="K20" s="135"/>
    </row>
    <row r="21" spans="1:11" ht="15" customHeight="1">
      <c r="A21" s="98" t="s">
        <v>21</v>
      </c>
      <c r="B21" s="130" t="s">
        <v>22</v>
      </c>
      <c r="C21" s="131"/>
      <c r="D21" s="131"/>
      <c r="E21" s="132"/>
      <c r="F21" s="99" t="s">
        <v>23</v>
      </c>
      <c r="G21" s="163"/>
      <c r="H21" s="164"/>
      <c r="I21" s="99" t="s">
        <v>24</v>
      </c>
      <c r="J21" s="163"/>
      <c r="K21" s="164"/>
    </row>
    <row r="22" spans="1:11" ht="30" customHeight="1">
      <c r="A22" s="424" t="s">
        <v>25</v>
      </c>
      <c r="B22" s="165" t="s">
        <v>26</v>
      </c>
      <c r="C22" s="166"/>
      <c r="D22" s="166"/>
      <c r="E22" s="166"/>
      <c r="F22" s="166"/>
      <c r="G22" s="166"/>
      <c r="H22" s="166"/>
      <c r="I22" s="166"/>
      <c r="J22" s="166"/>
      <c r="K22" s="167"/>
    </row>
    <row r="23" spans="1:11" ht="15" customHeight="1">
      <c r="A23" s="425"/>
      <c r="B23" s="168" t="s">
        <v>27</v>
      </c>
      <c r="C23" s="168"/>
      <c r="D23" s="169"/>
      <c r="E23" s="170"/>
      <c r="F23" s="170"/>
      <c r="G23" s="170"/>
      <c r="H23" s="171"/>
      <c r="I23" s="105" t="s">
        <v>28</v>
      </c>
      <c r="J23" s="172"/>
      <c r="K23" s="173"/>
    </row>
    <row r="24" spans="1:11" ht="15" customHeight="1">
      <c r="A24" s="425"/>
      <c r="B24" s="168" t="s">
        <v>29</v>
      </c>
      <c r="C24" s="168"/>
      <c r="D24" s="174"/>
      <c r="E24" s="175"/>
      <c r="F24" s="175"/>
      <c r="G24" s="175"/>
      <c r="H24" s="175"/>
      <c r="I24" s="175"/>
      <c r="J24" s="175"/>
      <c r="K24" s="176"/>
    </row>
    <row r="25" spans="1:11" ht="15" customHeight="1">
      <c r="A25" s="425"/>
      <c r="B25" s="168" t="s">
        <v>30</v>
      </c>
      <c r="C25" s="168"/>
      <c r="D25" s="177"/>
      <c r="E25" s="178"/>
      <c r="F25" s="178"/>
      <c r="G25" s="178"/>
      <c r="H25" s="178"/>
      <c r="I25" s="178"/>
      <c r="J25" s="178"/>
      <c r="K25" s="179"/>
    </row>
    <row r="26" spans="1:11" ht="15" customHeight="1">
      <c r="A26" s="425"/>
      <c r="B26" s="168" t="s">
        <v>31</v>
      </c>
      <c r="C26" s="168"/>
      <c r="D26" s="177"/>
      <c r="E26" s="178"/>
      <c r="F26" s="178"/>
      <c r="G26" s="178"/>
      <c r="H26" s="178"/>
      <c r="I26" s="178"/>
      <c r="J26" s="178"/>
      <c r="K26" s="179"/>
    </row>
    <row r="27" spans="1:11" ht="15" customHeight="1">
      <c r="A27" s="425"/>
      <c r="B27" s="168" t="s">
        <v>32</v>
      </c>
      <c r="C27" s="168"/>
      <c r="D27" s="180"/>
      <c r="E27" s="181"/>
      <c r="F27" s="181"/>
      <c r="G27" s="181"/>
      <c r="H27" s="181"/>
      <c r="I27" s="181"/>
      <c r="J27" s="181"/>
      <c r="K27" s="182"/>
    </row>
    <row r="28" spans="1:11" ht="15" customHeight="1">
      <c r="A28" s="425"/>
      <c r="B28" s="168" t="s">
        <v>33</v>
      </c>
      <c r="C28" s="168"/>
      <c r="D28" s="177"/>
      <c r="E28" s="179"/>
      <c r="F28" s="101" t="s">
        <v>34</v>
      </c>
      <c r="G28" s="183"/>
      <c r="H28" s="184"/>
      <c r="I28" s="100" t="s">
        <v>35</v>
      </c>
      <c r="J28" s="139"/>
      <c r="K28" s="141"/>
    </row>
    <row r="29" spans="1:11" ht="30" customHeight="1">
      <c r="A29" s="426"/>
      <c r="B29" s="185" t="s">
        <v>36</v>
      </c>
      <c r="C29" s="186"/>
      <c r="D29" s="187"/>
      <c r="E29" s="188"/>
      <c r="F29" s="188"/>
      <c r="G29" s="189"/>
      <c r="H29" s="189"/>
      <c r="I29" s="188"/>
      <c r="J29" s="189"/>
      <c r="K29" s="190"/>
    </row>
    <row r="30" spans="1:11" ht="15" customHeight="1">
      <c r="A30" s="97" t="s">
        <v>37</v>
      </c>
      <c r="B30" s="191" t="s">
        <v>38</v>
      </c>
      <c r="C30" s="192"/>
      <c r="D30" s="193"/>
      <c r="E30" s="192"/>
      <c r="F30" s="192"/>
      <c r="G30" s="192"/>
      <c r="H30" s="192"/>
      <c r="I30" s="192"/>
      <c r="J30" s="192"/>
      <c r="K30" s="194"/>
    </row>
    <row r="31" spans="1:11" ht="15" customHeight="1">
      <c r="A31" s="427" t="s">
        <v>39</v>
      </c>
      <c r="B31" s="195" t="s">
        <v>40</v>
      </c>
      <c r="C31" s="196"/>
      <c r="D31" s="196"/>
      <c r="E31" s="196"/>
      <c r="F31" s="196"/>
      <c r="G31" s="196"/>
      <c r="H31" s="196"/>
      <c r="I31" s="196"/>
      <c r="J31" s="196"/>
      <c r="K31" s="197"/>
    </row>
    <row r="32" spans="1:11" ht="15" customHeight="1">
      <c r="A32" s="423"/>
      <c r="B32" s="198"/>
      <c r="C32" s="199"/>
      <c r="D32" s="199"/>
      <c r="E32" s="199"/>
      <c r="F32" s="199"/>
      <c r="G32" s="199"/>
      <c r="H32" s="199"/>
      <c r="I32" s="199"/>
      <c r="J32" s="199"/>
      <c r="K32" s="200"/>
    </row>
    <row r="33" spans="1:11" ht="15" customHeight="1">
      <c r="A33" s="423"/>
      <c r="B33" s="201" t="s">
        <v>41</v>
      </c>
      <c r="C33" s="202"/>
      <c r="D33" s="202"/>
      <c r="E33" s="202"/>
      <c r="F33" s="202"/>
      <c r="G33" s="202"/>
      <c r="H33" s="202"/>
      <c r="I33" s="202"/>
      <c r="J33" s="202"/>
      <c r="K33" s="203"/>
    </row>
    <row r="34" spans="1:11" ht="15" customHeight="1">
      <c r="A34" s="428"/>
      <c r="B34" s="204"/>
      <c r="C34" s="205"/>
      <c r="D34" s="205"/>
      <c r="E34" s="205"/>
      <c r="F34" s="205"/>
      <c r="G34" s="205"/>
      <c r="H34" s="205"/>
      <c r="I34" s="205"/>
      <c r="J34" s="205"/>
      <c r="K34" s="206"/>
    </row>
    <row r="35" spans="1:11" ht="15" customHeight="1">
      <c r="A35" s="427" t="s">
        <v>42</v>
      </c>
      <c r="B35" s="195" t="s">
        <v>43</v>
      </c>
      <c r="C35" s="196"/>
      <c r="D35" s="196"/>
      <c r="E35" s="196"/>
      <c r="F35" s="196"/>
      <c r="G35" s="196"/>
      <c r="H35" s="196"/>
      <c r="I35" s="196"/>
      <c r="J35" s="196"/>
      <c r="K35" s="197"/>
    </row>
    <row r="36" spans="1:11" ht="30" customHeight="1">
      <c r="A36" s="428"/>
      <c r="B36" s="207"/>
      <c r="C36" s="208"/>
      <c r="D36" s="208"/>
      <c r="E36" s="208"/>
      <c r="F36" s="208"/>
      <c r="G36" s="208"/>
      <c r="H36" s="208"/>
      <c r="I36" s="208"/>
      <c r="J36" s="208"/>
      <c r="K36" s="209"/>
    </row>
    <row r="37" spans="1:11" ht="15" customHeight="1">
      <c r="A37" s="419" t="s">
        <v>44</v>
      </c>
      <c r="B37" s="195" t="s">
        <v>45</v>
      </c>
      <c r="C37" s="196"/>
      <c r="D37" s="196"/>
      <c r="E37" s="196"/>
      <c r="F37" s="196"/>
      <c r="G37" s="196"/>
      <c r="H37" s="196"/>
      <c r="I37" s="196"/>
      <c r="J37" s="196"/>
      <c r="K37" s="197"/>
    </row>
    <row r="38" spans="1:11" ht="15" customHeight="1">
      <c r="A38" s="421"/>
      <c r="B38" s="210"/>
      <c r="C38" s="211"/>
      <c r="D38" s="211"/>
      <c r="E38" s="211"/>
      <c r="F38" s="212"/>
      <c r="G38" s="213"/>
      <c r="H38" s="214"/>
      <c r="I38" s="214"/>
      <c r="J38" s="214"/>
      <c r="K38" s="215"/>
    </row>
    <row r="39" spans="1:11" ht="15" customHeight="1">
      <c r="A39" s="429" t="s">
        <v>46</v>
      </c>
      <c r="B39" s="216" t="s">
        <v>47</v>
      </c>
      <c r="C39" s="216"/>
      <c r="D39" s="216"/>
      <c r="E39" s="216"/>
      <c r="F39" s="216"/>
      <c r="G39" s="216"/>
      <c r="H39" s="216"/>
      <c r="I39" s="216"/>
      <c r="J39" s="216"/>
      <c r="K39" s="216"/>
    </row>
    <row r="40" spans="1:11" ht="75" customHeight="1">
      <c r="A40" s="429"/>
      <c r="B40" s="217"/>
      <c r="C40" s="217"/>
      <c r="D40" s="217"/>
      <c r="E40" s="217"/>
      <c r="F40" s="217"/>
      <c r="G40" s="217"/>
      <c r="H40" s="217"/>
      <c r="I40" s="217"/>
      <c r="J40" s="217"/>
      <c r="K40" s="218"/>
    </row>
    <row r="41" spans="1:11" ht="15" customHeight="1">
      <c r="A41" s="429"/>
      <c r="B41" s="219"/>
      <c r="C41" s="220"/>
      <c r="D41" s="213"/>
      <c r="E41" s="214"/>
      <c r="F41" s="214"/>
      <c r="G41" s="214"/>
      <c r="H41" s="214"/>
      <c r="I41" s="214"/>
      <c r="J41" s="214"/>
      <c r="K41" s="215"/>
    </row>
    <row r="42" spans="1:11" ht="15" customHeight="1">
      <c r="A42" s="429"/>
      <c r="B42" s="221" t="s">
        <v>48</v>
      </c>
      <c r="C42" s="222"/>
      <c r="D42" s="222"/>
      <c r="E42" s="222"/>
      <c r="F42" s="222"/>
      <c r="G42" s="223"/>
      <c r="H42" s="224"/>
      <c r="I42" s="225"/>
      <c r="J42" s="225"/>
      <c r="K42" s="226"/>
    </row>
    <row r="43" spans="1:11" ht="15" customHeight="1">
      <c r="A43" s="429"/>
      <c r="B43" s="227" t="s">
        <v>49</v>
      </c>
      <c r="C43" s="228"/>
      <c r="D43" s="228"/>
      <c r="E43" s="228"/>
      <c r="F43" s="228"/>
      <c r="G43" s="228"/>
      <c r="H43" s="228"/>
      <c r="I43" s="228"/>
      <c r="J43" s="228"/>
      <c r="K43" s="228"/>
    </row>
    <row r="44" spans="1:11" ht="45" customHeight="1">
      <c r="A44" s="419" t="s">
        <v>50</v>
      </c>
      <c r="B44" s="229" t="s">
        <v>51</v>
      </c>
      <c r="C44" s="229"/>
      <c r="D44" s="229"/>
      <c r="E44" s="229"/>
      <c r="F44" s="229"/>
      <c r="G44" s="229"/>
      <c r="H44" s="229"/>
      <c r="I44" s="229"/>
      <c r="J44" s="229"/>
      <c r="K44" s="229"/>
    </row>
    <row r="45" spans="1:11" ht="15" customHeight="1">
      <c r="A45" s="420"/>
      <c r="B45" s="230" t="s">
        <v>52</v>
      </c>
      <c r="C45" s="231"/>
      <c r="D45" s="231"/>
      <c r="E45" s="231"/>
      <c r="F45" s="231"/>
      <c r="G45" s="232"/>
      <c r="H45" s="230" t="s">
        <v>53</v>
      </c>
      <c r="I45" s="232"/>
      <c r="J45" s="233" t="s">
        <v>54</v>
      </c>
      <c r="K45" s="232"/>
    </row>
    <row r="46" spans="1:11" ht="30" customHeight="1">
      <c r="A46" s="420"/>
      <c r="B46" s="234" t="s">
        <v>55</v>
      </c>
      <c r="C46" s="234"/>
      <c r="D46" s="234"/>
      <c r="E46" s="234"/>
      <c r="F46" s="234"/>
      <c r="G46" s="234"/>
      <c r="H46" s="235"/>
      <c r="I46" s="236"/>
      <c r="J46" s="236"/>
      <c r="K46" s="237"/>
    </row>
    <row r="47" spans="1:11" ht="30" customHeight="1">
      <c r="A47" s="420"/>
      <c r="B47" s="234" t="s">
        <v>56</v>
      </c>
      <c r="C47" s="234"/>
      <c r="D47" s="234"/>
      <c r="E47" s="234"/>
      <c r="F47" s="234"/>
      <c r="G47" s="234"/>
      <c r="H47" s="238"/>
      <c r="I47" s="239"/>
      <c r="J47" s="239"/>
      <c r="K47" s="240"/>
    </row>
    <row r="48" spans="1:11" ht="30" customHeight="1">
      <c r="A48" s="420"/>
      <c r="B48" s="234" t="s">
        <v>57</v>
      </c>
      <c r="C48" s="234"/>
      <c r="D48" s="234"/>
      <c r="E48" s="234"/>
      <c r="F48" s="234"/>
      <c r="G48" s="234"/>
      <c r="H48" s="238"/>
      <c r="I48" s="239"/>
      <c r="J48" s="239"/>
      <c r="K48" s="240"/>
    </row>
    <row r="49" spans="1:11" ht="30" customHeight="1">
      <c r="A49" s="420"/>
      <c r="B49" s="234" t="s">
        <v>58</v>
      </c>
      <c r="C49" s="234"/>
      <c r="D49" s="234"/>
      <c r="E49" s="234"/>
      <c r="F49" s="234"/>
      <c r="G49" s="234"/>
      <c r="H49" s="238"/>
      <c r="I49" s="239"/>
      <c r="J49" s="239"/>
      <c r="K49" s="240"/>
    </row>
    <row r="50" spans="1:11" ht="30" customHeight="1">
      <c r="A50" s="420"/>
      <c r="B50" s="234" t="s">
        <v>59</v>
      </c>
      <c r="C50" s="234"/>
      <c r="D50" s="234"/>
      <c r="E50" s="234"/>
      <c r="F50" s="234"/>
      <c r="G50" s="234"/>
      <c r="H50" s="238"/>
      <c r="I50" s="239"/>
      <c r="J50" s="239"/>
      <c r="K50" s="240"/>
    </row>
    <row r="51" spans="1:11" ht="30" customHeight="1">
      <c r="A51" s="420"/>
      <c r="B51" s="234" t="s">
        <v>60</v>
      </c>
      <c r="C51" s="234"/>
      <c r="D51" s="234"/>
      <c r="E51" s="234"/>
      <c r="F51" s="234"/>
      <c r="G51" s="234"/>
      <c r="H51" s="238"/>
      <c r="I51" s="239"/>
      <c r="J51" s="239"/>
      <c r="K51" s="240"/>
    </row>
    <row r="52" spans="1:11" ht="54.95" customHeight="1">
      <c r="A52" s="420"/>
      <c r="B52" s="234" t="s">
        <v>61</v>
      </c>
      <c r="C52" s="234"/>
      <c r="D52" s="234"/>
      <c r="E52" s="234"/>
      <c r="F52" s="234"/>
      <c r="G52" s="234"/>
      <c r="H52" s="238"/>
      <c r="I52" s="239"/>
      <c r="J52" s="239"/>
      <c r="K52" s="240"/>
    </row>
    <row r="53" spans="1:11" ht="30" customHeight="1">
      <c r="A53" s="420"/>
      <c r="B53" s="234" t="s">
        <v>62</v>
      </c>
      <c r="C53" s="234"/>
      <c r="D53" s="234"/>
      <c r="E53" s="234"/>
      <c r="F53" s="234"/>
      <c r="G53" s="234"/>
      <c r="H53" s="241"/>
      <c r="I53" s="242"/>
      <c r="J53" s="242"/>
      <c r="K53" s="243"/>
    </row>
    <row r="54" spans="1:11" ht="54.95" customHeight="1">
      <c r="A54" s="420"/>
      <c r="B54" s="234" t="s">
        <v>63</v>
      </c>
      <c r="C54" s="234"/>
      <c r="D54" s="234"/>
      <c r="E54" s="234"/>
      <c r="F54" s="234"/>
      <c r="G54" s="234"/>
      <c r="H54" s="244" t="s">
        <v>64</v>
      </c>
      <c r="I54" s="245"/>
      <c r="J54" s="244" t="s">
        <v>65</v>
      </c>
      <c r="K54" s="245"/>
    </row>
    <row r="55" spans="1:11" ht="39.950000000000003" customHeight="1">
      <c r="A55" s="420"/>
      <c r="B55" s="246"/>
      <c r="C55" s="246"/>
      <c r="D55" s="246"/>
      <c r="E55" s="246"/>
      <c r="F55" s="246"/>
      <c r="G55" s="246"/>
      <c r="H55" s="441"/>
      <c r="I55" s="441"/>
      <c r="J55" s="441"/>
      <c r="K55" s="443"/>
    </row>
    <row r="56" spans="1:11" ht="15" customHeight="1">
      <c r="A56" s="430"/>
      <c r="B56" s="247" t="s">
        <v>66</v>
      </c>
      <c r="C56" s="247"/>
      <c r="D56" s="247"/>
      <c r="E56" s="247"/>
      <c r="F56" s="247"/>
      <c r="G56" s="247"/>
      <c r="H56" s="442"/>
      <c r="I56" s="441"/>
      <c r="J56" s="441"/>
      <c r="K56" s="443"/>
    </row>
    <row r="57" spans="1:11" ht="30" customHeight="1">
      <c r="A57" s="420"/>
      <c r="B57" s="248"/>
      <c r="C57" s="249"/>
      <c r="D57" s="249"/>
      <c r="E57" s="249"/>
      <c r="F57" s="249"/>
      <c r="G57" s="249"/>
      <c r="H57" s="236"/>
      <c r="I57" s="236"/>
      <c r="J57" s="441"/>
      <c r="K57" s="443"/>
    </row>
    <row r="58" spans="1:11" ht="30" customHeight="1">
      <c r="A58" s="430"/>
      <c r="B58" s="234" t="s">
        <v>67</v>
      </c>
      <c r="C58" s="234"/>
      <c r="D58" s="234"/>
      <c r="E58" s="234"/>
      <c r="F58" s="234"/>
      <c r="G58" s="234"/>
      <c r="H58" s="238"/>
      <c r="I58" s="250"/>
      <c r="J58" s="251" t="s">
        <v>68</v>
      </c>
      <c r="K58" s="251"/>
    </row>
    <row r="59" spans="1:11" ht="30" customHeight="1">
      <c r="A59" s="430"/>
      <c r="B59" s="100" t="s">
        <v>69</v>
      </c>
      <c r="C59" s="252"/>
      <c r="D59" s="253"/>
      <c r="E59" s="253"/>
      <c r="F59" s="253"/>
      <c r="G59" s="253"/>
      <c r="H59" s="254"/>
      <c r="I59" s="254"/>
      <c r="J59" s="255"/>
      <c r="K59" s="256"/>
    </row>
    <row r="60" spans="1:11" ht="15" customHeight="1">
      <c r="A60" s="430"/>
      <c r="B60" s="257" t="s">
        <v>70</v>
      </c>
      <c r="C60" s="257"/>
      <c r="D60" s="257"/>
      <c r="E60" s="257"/>
      <c r="F60" s="257"/>
      <c r="G60" s="257"/>
      <c r="H60" s="258">
        <f>H59+H58+H55+H53+H52+H51+H50+H49+H48+H47+H46</f>
        <v>0</v>
      </c>
      <c r="I60" s="259"/>
      <c r="J60" s="260"/>
      <c r="K60" s="261"/>
    </row>
    <row r="61" spans="1:11" ht="30" customHeight="1">
      <c r="A61" s="420"/>
      <c r="B61" s="262" t="s">
        <v>71</v>
      </c>
      <c r="C61" s="263"/>
      <c r="D61" s="263"/>
      <c r="E61" s="263"/>
      <c r="F61" s="263"/>
      <c r="G61" s="263"/>
      <c r="H61" s="263"/>
      <c r="I61" s="263"/>
      <c r="J61" s="263"/>
      <c r="K61" s="263"/>
    </row>
    <row r="62" spans="1:11">
      <c r="A62" s="420"/>
      <c r="B62" s="264" t="s">
        <v>72</v>
      </c>
      <c r="C62" s="265"/>
      <c r="D62" s="265"/>
      <c r="E62" s="265"/>
      <c r="F62" s="265"/>
      <c r="G62" s="265"/>
      <c r="H62" s="265"/>
      <c r="I62" s="266"/>
      <c r="J62" s="230" t="s">
        <v>73</v>
      </c>
      <c r="K62" s="232"/>
    </row>
    <row r="63" spans="1:11" ht="27" customHeight="1">
      <c r="A63" s="420"/>
      <c r="B63" s="267" t="s">
        <v>74</v>
      </c>
      <c r="C63" s="268"/>
      <c r="D63" s="268"/>
      <c r="E63" s="268"/>
      <c r="F63" s="268"/>
      <c r="G63" s="268"/>
      <c r="H63" s="268"/>
      <c r="I63" s="269"/>
      <c r="J63" s="270"/>
      <c r="K63" s="271"/>
    </row>
    <row r="64" spans="1:11" ht="27" customHeight="1">
      <c r="A64" s="420"/>
      <c r="B64" s="267" t="s">
        <v>75</v>
      </c>
      <c r="C64" s="268"/>
      <c r="D64" s="268"/>
      <c r="E64" s="268"/>
      <c r="F64" s="268"/>
      <c r="G64" s="268"/>
      <c r="H64" s="268"/>
      <c r="I64" s="269"/>
      <c r="J64" s="272"/>
      <c r="K64" s="273"/>
    </row>
    <row r="65" spans="1:11" ht="39.950000000000003" customHeight="1">
      <c r="A65" s="420"/>
      <c r="B65" s="267" t="s">
        <v>76</v>
      </c>
      <c r="C65" s="268"/>
      <c r="D65" s="268"/>
      <c r="E65" s="268"/>
      <c r="F65" s="268"/>
      <c r="G65" s="268"/>
      <c r="H65" s="268"/>
      <c r="I65" s="269"/>
      <c r="J65" s="272"/>
      <c r="K65" s="273"/>
    </row>
    <row r="66" spans="1:11" ht="39.950000000000003" customHeight="1">
      <c r="A66" s="420"/>
      <c r="B66" s="267" t="s">
        <v>77</v>
      </c>
      <c r="C66" s="268"/>
      <c r="D66" s="268"/>
      <c r="E66" s="268"/>
      <c r="F66" s="268"/>
      <c r="G66" s="268"/>
      <c r="H66" s="268"/>
      <c r="I66" s="269"/>
      <c r="J66" s="272"/>
      <c r="K66" s="273"/>
    </row>
    <row r="67" spans="1:11" ht="27" customHeight="1">
      <c r="A67" s="420"/>
      <c r="B67" s="267" t="s">
        <v>78</v>
      </c>
      <c r="C67" s="268"/>
      <c r="D67" s="268"/>
      <c r="E67" s="268"/>
      <c r="F67" s="268"/>
      <c r="G67" s="268"/>
      <c r="H67" s="268"/>
      <c r="I67" s="269"/>
      <c r="J67" s="272"/>
      <c r="K67" s="273"/>
    </row>
    <row r="68" spans="1:11" ht="69" customHeight="1">
      <c r="A68" s="420"/>
      <c r="B68" s="267" t="s">
        <v>79</v>
      </c>
      <c r="C68" s="268"/>
      <c r="D68" s="268"/>
      <c r="E68" s="268"/>
      <c r="F68" s="268"/>
      <c r="G68" s="268"/>
      <c r="H68" s="268"/>
      <c r="I68" s="269"/>
      <c r="J68" s="272"/>
      <c r="K68" s="273"/>
    </row>
    <row r="69" spans="1:11" ht="27" customHeight="1">
      <c r="A69" s="420"/>
      <c r="B69" s="267" t="s">
        <v>80</v>
      </c>
      <c r="C69" s="268"/>
      <c r="D69" s="268"/>
      <c r="E69" s="268"/>
      <c r="F69" s="268"/>
      <c r="G69" s="268"/>
      <c r="H69" s="268"/>
      <c r="I69" s="269"/>
      <c r="J69" s="272"/>
      <c r="K69" s="273"/>
    </row>
    <row r="70" spans="1:11" ht="54" customHeight="1">
      <c r="A70" s="420"/>
      <c r="B70" s="267" t="s">
        <v>81</v>
      </c>
      <c r="C70" s="268"/>
      <c r="D70" s="268"/>
      <c r="E70" s="268"/>
      <c r="F70" s="268"/>
      <c r="G70" s="268"/>
      <c r="H70" s="268"/>
      <c r="I70" s="269"/>
      <c r="J70" s="272"/>
      <c r="K70" s="273"/>
    </row>
    <row r="71" spans="1:11" ht="39.950000000000003" customHeight="1">
      <c r="A71" s="421"/>
      <c r="B71" s="274" t="s">
        <v>82</v>
      </c>
      <c r="C71" s="275"/>
      <c r="D71" s="213"/>
      <c r="E71" s="214"/>
      <c r="F71" s="214"/>
      <c r="G71" s="214"/>
      <c r="H71" s="214"/>
      <c r="I71" s="276"/>
      <c r="J71" s="277"/>
      <c r="K71" s="278"/>
    </row>
    <row r="72" spans="1:11" ht="15" customHeight="1">
      <c r="A72" s="419" t="s">
        <v>83</v>
      </c>
      <c r="B72" s="279" t="s">
        <v>84</v>
      </c>
      <c r="C72" s="280"/>
      <c r="D72" s="280"/>
      <c r="E72" s="280"/>
      <c r="F72" s="280"/>
      <c r="G72" s="280"/>
      <c r="H72" s="280"/>
      <c r="I72" s="280"/>
      <c r="J72" s="280"/>
      <c r="K72" s="281"/>
    </row>
    <row r="73" spans="1:11" ht="144.94999999999999" customHeight="1">
      <c r="A73" s="420"/>
      <c r="B73" s="282"/>
      <c r="C73" s="283"/>
      <c r="D73" s="283"/>
      <c r="E73" s="283"/>
      <c r="F73" s="283"/>
      <c r="G73" s="283"/>
      <c r="H73" s="283"/>
      <c r="I73" s="283"/>
      <c r="J73" s="283"/>
      <c r="K73" s="284"/>
    </row>
    <row r="74" spans="1:11" ht="30" customHeight="1">
      <c r="A74" s="420"/>
      <c r="B74" s="285" t="s">
        <v>85</v>
      </c>
      <c r="C74" s="286"/>
      <c r="D74" s="286"/>
      <c r="E74" s="286"/>
      <c r="F74" s="286"/>
      <c r="G74" s="286"/>
      <c r="H74" s="286"/>
      <c r="I74" s="286"/>
      <c r="J74" s="286"/>
      <c r="K74" s="287"/>
    </row>
    <row r="75" spans="1:11" ht="15" customHeight="1">
      <c r="A75" s="420"/>
      <c r="B75" s="288" t="s">
        <v>86</v>
      </c>
      <c r="C75" s="289"/>
      <c r="D75" s="289"/>
      <c r="E75" s="289"/>
      <c r="F75" s="289"/>
      <c r="G75" s="289"/>
      <c r="H75" s="289"/>
      <c r="I75" s="290"/>
      <c r="J75" s="230" t="s">
        <v>73</v>
      </c>
      <c r="K75" s="232"/>
    </row>
    <row r="76" spans="1:11" ht="15" customHeight="1">
      <c r="A76" s="420"/>
      <c r="B76" s="291"/>
      <c r="C76" s="292"/>
      <c r="D76" s="292"/>
      <c r="E76" s="292"/>
      <c r="F76" s="292"/>
      <c r="G76" s="292"/>
      <c r="H76" s="292"/>
      <c r="I76" s="293"/>
      <c r="J76" s="294"/>
      <c r="K76" s="295"/>
    </row>
    <row r="77" spans="1:11" ht="15" customHeight="1">
      <c r="A77" s="421"/>
      <c r="B77" s="291"/>
      <c r="C77" s="292"/>
      <c r="D77" s="292"/>
      <c r="E77" s="292"/>
      <c r="F77" s="292"/>
      <c r="G77" s="292"/>
      <c r="H77" s="292"/>
      <c r="I77" s="293"/>
      <c r="J77" s="296"/>
      <c r="K77" s="297"/>
    </row>
    <row r="78" spans="1:11" ht="15" customHeight="1">
      <c r="A78" s="106" t="s">
        <v>87</v>
      </c>
      <c r="B78" s="298" t="s">
        <v>88</v>
      </c>
      <c r="C78" s="298"/>
      <c r="D78" s="298"/>
      <c r="E78" s="298"/>
      <c r="F78" s="298"/>
      <c r="G78" s="298"/>
      <c r="H78" s="298"/>
      <c r="I78" s="298"/>
      <c r="J78" s="298"/>
      <c r="K78" s="298"/>
    </row>
    <row r="79" spans="1:11">
      <c r="A79" s="431" t="s">
        <v>89</v>
      </c>
      <c r="B79" s="142" t="s">
        <v>90</v>
      </c>
      <c r="C79" s="131"/>
      <c r="D79" s="131"/>
      <c r="E79" s="132"/>
      <c r="F79" s="299"/>
      <c r="G79" s="300"/>
      <c r="H79" s="301"/>
      <c r="I79" s="302" t="s">
        <v>91</v>
      </c>
      <c r="J79" s="303"/>
      <c r="K79" s="109" t="s">
        <v>92</v>
      </c>
    </row>
    <row r="80" spans="1:11">
      <c r="A80" s="432"/>
      <c r="B80" s="130" t="s">
        <v>93</v>
      </c>
      <c r="C80" s="131"/>
      <c r="D80" s="131"/>
      <c r="E80" s="131"/>
      <c r="F80" s="131"/>
      <c r="G80" s="132"/>
      <c r="H80" s="304"/>
      <c r="I80" s="304"/>
      <c r="J80" s="304"/>
      <c r="K80" s="304"/>
    </row>
    <row r="81" spans="1:13">
      <c r="A81" s="432"/>
      <c r="B81" s="130" t="s">
        <v>94</v>
      </c>
      <c r="C81" s="131"/>
      <c r="D81" s="131"/>
      <c r="E81" s="131"/>
      <c r="F81" s="131"/>
      <c r="G81" s="132"/>
      <c r="H81" s="305"/>
      <c r="I81" s="306"/>
      <c r="J81" s="306"/>
      <c r="K81" s="307"/>
    </row>
    <row r="82" spans="1:13">
      <c r="A82" s="432"/>
      <c r="B82" s="130" t="s">
        <v>95</v>
      </c>
      <c r="C82" s="131"/>
      <c r="D82" s="132"/>
      <c r="E82" s="308"/>
      <c r="F82" s="309"/>
      <c r="G82" s="130" t="s">
        <v>96</v>
      </c>
      <c r="H82" s="131"/>
      <c r="I82" s="132"/>
      <c r="J82" s="310"/>
      <c r="K82" s="311"/>
    </row>
    <row r="83" spans="1:13">
      <c r="A83" s="432"/>
      <c r="B83" s="312" t="s">
        <v>97</v>
      </c>
      <c r="C83" s="313"/>
      <c r="D83" s="313"/>
      <c r="E83" s="313"/>
      <c r="F83" s="313"/>
      <c r="G83" s="314"/>
      <c r="H83" s="304"/>
      <c r="I83" s="304"/>
      <c r="J83" s="304"/>
      <c r="K83" s="304"/>
    </row>
    <row r="84" spans="1:13" ht="30" customHeight="1">
      <c r="A84" s="432"/>
      <c r="B84" s="222" t="s">
        <v>98</v>
      </c>
      <c r="C84" s="196"/>
      <c r="D84" s="196"/>
      <c r="E84" s="196"/>
      <c r="F84" s="196"/>
      <c r="G84" s="196"/>
      <c r="H84" s="196"/>
      <c r="I84" s="196"/>
      <c r="J84" s="196"/>
      <c r="K84" s="197"/>
    </row>
    <row r="85" spans="1:13" ht="39.950000000000003" customHeight="1">
      <c r="A85" s="432"/>
      <c r="B85" s="315"/>
      <c r="C85" s="316"/>
      <c r="D85" s="317"/>
      <c r="E85" s="317"/>
      <c r="F85" s="317"/>
      <c r="G85" s="317"/>
      <c r="H85" s="317"/>
      <c r="I85" s="317"/>
      <c r="J85" s="317"/>
      <c r="K85" s="318"/>
    </row>
    <row r="86" spans="1:13" ht="30" customHeight="1">
      <c r="A86" s="432"/>
      <c r="B86" s="319" t="s">
        <v>99</v>
      </c>
      <c r="C86" s="320"/>
      <c r="D86" s="320"/>
      <c r="E86" s="320"/>
      <c r="F86" s="320"/>
      <c r="G86" s="320"/>
      <c r="H86" s="320"/>
      <c r="I86" s="320"/>
      <c r="J86" s="320"/>
      <c r="K86" s="321"/>
    </row>
    <row r="87" spans="1:13" ht="39.950000000000003" customHeight="1">
      <c r="A87" s="432"/>
      <c r="B87" s="322"/>
      <c r="C87" s="323"/>
      <c r="D87" s="324"/>
      <c r="E87" s="325"/>
      <c r="F87" s="325"/>
      <c r="G87" s="325"/>
      <c r="H87" s="325"/>
      <c r="I87" s="325"/>
      <c r="J87" s="325"/>
      <c r="K87" s="326"/>
    </row>
    <row r="88" spans="1:13" ht="15" customHeight="1">
      <c r="A88" s="432"/>
      <c r="B88" s="221" t="s">
        <v>100</v>
      </c>
      <c r="C88" s="222"/>
      <c r="D88" s="222"/>
      <c r="E88" s="222"/>
      <c r="F88" s="222"/>
      <c r="G88" s="223"/>
      <c r="H88" s="224"/>
      <c r="I88" s="225"/>
      <c r="J88" s="225"/>
      <c r="K88" s="226"/>
    </row>
    <row r="89" spans="1:13" s="91" customFormat="1" ht="15" customHeight="1">
      <c r="A89" s="432"/>
      <c r="B89" s="327" t="s">
        <v>101</v>
      </c>
      <c r="C89" s="328"/>
      <c r="D89" s="328"/>
      <c r="E89" s="328"/>
      <c r="F89" s="328"/>
      <c r="G89" s="328"/>
      <c r="H89" s="328"/>
      <c r="I89" s="328"/>
      <c r="J89" s="328"/>
      <c r="K89" s="328"/>
      <c r="M89" s="110"/>
    </row>
    <row r="90" spans="1:13" s="91" customFormat="1" ht="15" customHeight="1">
      <c r="A90" s="433"/>
      <c r="B90" s="447" t="s">
        <v>102</v>
      </c>
      <c r="C90" s="448"/>
      <c r="D90" s="329"/>
      <c r="E90" s="330"/>
      <c r="F90" s="331"/>
      <c r="G90" s="331"/>
      <c r="H90" s="331"/>
      <c r="I90" s="331"/>
      <c r="J90" s="331"/>
      <c r="K90" s="332"/>
      <c r="M90" s="110"/>
    </row>
    <row r="91" spans="1:13" ht="15" customHeight="1">
      <c r="A91" s="433"/>
      <c r="B91" s="274"/>
      <c r="C91" s="275"/>
      <c r="D91" s="333"/>
      <c r="E91" s="334"/>
      <c r="F91" s="335"/>
      <c r="G91" s="336"/>
      <c r="H91" s="336"/>
      <c r="I91" s="336"/>
      <c r="J91" s="336"/>
      <c r="K91" s="337"/>
    </row>
    <row r="92" spans="1:13" ht="15" customHeight="1">
      <c r="A92" s="433"/>
      <c r="B92" s="447" t="s">
        <v>103</v>
      </c>
      <c r="C92" s="448"/>
      <c r="D92" s="338"/>
      <c r="E92" s="330"/>
      <c r="F92" s="331"/>
      <c r="G92" s="331"/>
      <c r="H92" s="331"/>
      <c r="I92" s="331"/>
      <c r="J92" s="331"/>
      <c r="K92" s="332"/>
    </row>
    <row r="93" spans="1:13" ht="15" customHeight="1">
      <c r="A93" s="433"/>
      <c r="B93" s="274"/>
      <c r="C93" s="275"/>
      <c r="D93" s="339"/>
      <c r="E93" s="340"/>
      <c r="F93" s="341"/>
      <c r="G93" s="342"/>
      <c r="H93" s="342"/>
      <c r="I93" s="342"/>
      <c r="J93" s="342"/>
      <c r="K93" s="343"/>
    </row>
    <row r="94" spans="1:13" ht="15" customHeight="1">
      <c r="A94" s="433"/>
      <c r="B94" s="449" t="s">
        <v>104</v>
      </c>
      <c r="C94" s="450"/>
      <c r="D94" s="344"/>
      <c r="E94" s="345"/>
      <c r="F94" s="346"/>
      <c r="G94" s="346"/>
      <c r="H94" s="346"/>
      <c r="I94" s="346"/>
      <c r="J94" s="346"/>
      <c r="K94" s="347"/>
    </row>
    <row r="95" spans="1:13" ht="15" customHeight="1">
      <c r="A95" s="433"/>
      <c r="B95" s="451"/>
      <c r="C95" s="358"/>
      <c r="D95" s="339"/>
      <c r="E95" s="340"/>
      <c r="F95" s="348"/>
      <c r="G95" s="349"/>
      <c r="H95" s="349"/>
      <c r="I95" s="349"/>
      <c r="J95" s="349"/>
      <c r="K95" s="350"/>
    </row>
    <row r="96" spans="1:13" ht="15" customHeight="1">
      <c r="A96" s="432"/>
      <c r="B96" s="195" t="s">
        <v>105</v>
      </c>
      <c r="C96" s="196"/>
      <c r="D96" s="196"/>
      <c r="E96" s="196"/>
      <c r="F96" s="196"/>
      <c r="G96" s="197"/>
      <c r="H96" s="351"/>
      <c r="I96" s="352"/>
      <c r="J96" s="352"/>
      <c r="K96" s="353"/>
    </row>
    <row r="97" spans="1:11" ht="15" customHeight="1">
      <c r="A97" s="434"/>
      <c r="B97" s="195" t="s">
        <v>106</v>
      </c>
      <c r="C97" s="196"/>
      <c r="D97" s="196"/>
      <c r="E97" s="196"/>
      <c r="F97" s="196"/>
      <c r="G97" s="197"/>
      <c r="H97" s="351"/>
      <c r="I97" s="352"/>
      <c r="J97" s="352"/>
      <c r="K97" s="353"/>
    </row>
    <row r="98" spans="1:11" ht="15" customHeight="1">
      <c r="A98" s="431" t="s">
        <v>107</v>
      </c>
      <c r="B98" s="328" t="s">
        <v>108</v>
      </c>
      <c r="C98" s="328"/>
      <c r="D98" s="328"/>
      <c r="E98" s="328"/>
      <c r="F98" s="354"/>
      <c r="G98" s="354"/>
      <c r="H98" s="354"/>
      <c r="I98" s="354"/>
      <c r="J98" s="354"/>
      <c r="K98" s="354"/>
    </row>
    <row r="99" spans="1:11" ht="45" customHeight="1">
      <c r="A99" s="432"/>
      <c r="B99" s="221" t="s">
        <v>109</v>
      </c>
      <c r="C99" s="222"/>
      <c r="D99" s="222"/>
      <c r="E99" s="222"/>
      <c r="F99" s="222"/>
      <c r="G99" s="223"/>
      <c r="H99" s="355"/>
      <c r="I99" s="356"/>
      <c r="J99" s="356"/>
      <c r="K99" s="357"/>
    </row>
    <row r="100" spans="1:11">
      <c r="A100" s="432"/>
      <c r="B100" s="195" t="s">
        <v>110</v>
      </c>
      <c r="C100" s="196"/>
      <c r="D100" s="196"/>
      <c r="E100" s="196"/>
      <c r="F100" s="358"/>
      <c r="G100" s="210"/>
      <c r="H100" s="211"/>
      <c r="I100" s="211"/>
      <c r="J100" s="211"/>
      <c r="K100" s="212"/>
    </row>
    <row r="101" spans="1:11" ht="15" customHeight="1">
      <c r="A101" s="432"/>
      <c r="B101" s="221" t="s">
        <v>111</v>
      </c>
      <c r="C101" s="222"/>
      <c r="D101" s="222"/>
      <c r="E101" s="222"/>
      <c r="F101" s="222"/>
      <c r="G101" s="222"/>
      <c r="H101" s="222"/>
      <c r="I101" s="222"/>
      <c r="J101" s="225"/>
      <c r="K101" s="226"/>
    </row>
    <row r="102" spans="1:11">
      <c r="A102" s="432"/>
      <c r="B102" s="195" t="s">
        <v>112</v>
      </c>
      <c r="C102" s="196"/>
      <c r="D102" s="196"/>
      <c r="E102" s="196"/>
      <c r="F102" s="196"/>
      <c r="G102" s="196"/>
      <c r="H102" s="196"/>
      <c r="I102" s="196"/>
      <c r="J102" s="225"/>
      <c r="K102" s="226"/>
    </row>
    <row r="103" spans="1:11">
      <c r="A103" s="432"/>
      <c r="B103" s="195" t="s">
        <v>113</v>
      </c>
      <c r="C103" s="196"/>
      <c r="D103" s="196"/>
      <c r="E103" s="196"/>
      <c r="F103" s="196"/>
      <c r="G103" s="196"/>
      <c r="H103" s="196"/>
      <c r="I103" s="196"/>
      <c r="J103" s="225"/>
      <c r="K103" s="226"/>
    </row>
    <row r="104" spans="1:11" ht="30" customHeight="1">
      <c r="A104" s="432"/>
      <c r="B104" s="221" t="s">
        <v>114</v>
      </c>
      <c r="C104" s="222"/>
      <c r="D104" s="222"/>
      <c r="E104" s="222"/>
      <c r="F104" s="222"/>
      <c r="G104" s="222"/>
      <c r="H104" s="222"/>
      <c r="I104" s="275"/>
      <c r="J104" s="359"/>
      <c r="K104" s="360"/>
    </row>
    <row r="105" spans="1:11" ht="45" customHeight="1">
      <c r="A105" s="432"/>
      <c r="B105" s="221" t="s">
        <v>115</v>
      </c>
      <c r="C105" s="222"/>
      <c r="D105" s="222"/>
      <c r="E105" s="222"/>
      <c r="F105" s="222"/>
      <c r="G105" s="223"/>
      <c r="H105" s="361"/>
      <c r="I105" s="362"/>
      <c r="J105" s="362"/>
      <c r="K105" s="363"/>
    </row>
    <row r="106" spans="1:11">
      <c r="A106" s="432"/>
      <c r="B106" s="364" t="s">
        <v>116</v>
      </c>
      <c r="C106" s="365"/>
      <c r="D106" s="365"/>
      <c r="E106" s="365"/>
      <c r="F106" s="365"/>
      <c r="G106" s="366"/>
      <c r="H106" s="366"/>
      <c r="I106" s="366"/>
      <c r="J106" s="366"/>
      <c r="K106" s="327"/>
    </row>
    <row r="107" spans="1:11" ht="30" customHeight="1">
      <c r="A107" s="432"/>
      <c r="B107" s="367" t="s">
        <v>117</v>
      </c>
      <c r="C107" s="368"/>
      <c r="D107" s="368"/>
      <c r="E107" s="368"/>
      <c r="F107" s="369"/>
      <c r="G107" s="370"/>
      <c r="H107" s="371"/>
      <c r="I107" s="371"/>
      <c r="J107" s="371"/>
      <c r="K107" s="372"/>
    </row>
    <row r="108" spans="1:11">
      <c r="A108" s="432"/>
      <c r="B108" s="195" t="s">
        <v>118</v>
      </c>
      <c r="C108" s="196"/>
      <c r="D108" s="196"/>
      <c r="E108" s="196"/>
      <c r="F108" s="196"/>
      <c r="G108" s="196"/>
      <c r="H108" s="196"/>
      <c r="I108" s="196"/>
      <c r="J108" s="373"/>
      <c r="K108" s="374"/>
    </row>
    <row r="109" spans="1:11">
      <c r="A109" s="432"/>
      <c r="B109" s="195" t="s">
        <v>119</v>
      </c>
      <c r="C109" s="196"/>
      <c r="D109" s="196"/>
      <c r="E109" s="196"/>
      <c r="F109" s="196"/>
      <c r="G109" s="196"/>
      <c r="H109" s="196"/>
      <c r="I109" s="196"/>
      <c r="J109" s="375"/>
      <c r="K109" s="376"/>
    </row>
    <row r="110" spans="1:11">
      <c r="A110" s="432"/>
      <c r="B110" s="130" t="s">
        <v>120</v>
      </c>
      <c r="C110" s="131"/>
      <c r="D110" s="131"/>
      <c r="E110" s="131"/>
      <c r="F110" s="132"/>
      <c r="G110" s="377"/>
      <c r="H110" s="378"/>
      <c r="I110" s="378"/>
      <c r="J110" s="378"/>
      <c r="K110" s="379"/>
    </row>
    <row r="111" spans="1:11">
      <c r="A111" s="432"/>
      <c r="B111" s="130" t="s">
        <v>121</v>
      </c>
      <c r="C111" s="131"/>
      <c r="D111" s="131"/>
      <c r="E111" s="131"/>
      <c r="F111" s="131"/>
      <c r="G111" s="137"/>
      <c r="H111" s="138"/>
      <c r="I111" s="380"/>
      <c r="J111" s="381"/>
      <c r="K111" s="382"/>
    </row>
    <row r="112" spans="1:11">
      <c r="A112" s="432"/>
      <c r="B112" s="195" t="s">
        <v>122</v>
      </c>
      <c r="C112" s="196"/>
      <c r="D112" s="196"/>
      <c r="E112" s="196"/>
      <c r="F112" s="196"/>
      <c r="G112" s="196"/>
      <c r="H112" s="196"/>
      <c r="I112" s="142"/>
      <c r="J112" s="383"/>
      <c r="K112" s="384"/>
    </row>
    <row r="113" spans="1:13">
      <c r="A113" s="434"/>
      <c r="B113" s="195" t="s">
        <v>123</v>
      </c>
      <c r="C113" s="196"/>
      <c r="D113" s="196"/>
      <c r="E113" s="196"/>
      <c r="F113" s="196"/>
      <c r="G113" s="196"/>
      <c r="H113" s="196"/>
      <c r="I113" s="142"/>
      <c r="J113" s="383"/>
      <c r="K113" s="384"/>
    </row>
    <row r="114" spans="1:13" ht="54.95" customHeight="1">
      <c r="A114" s="435" t="s">
        <v>124</v>
      </c>
      <c r="B114" s="385" t="s">
        <v>125</v>
      </c>
      <c r="C114" s="386"/>
      <c r="D114" s="386"/>
      <c r="E114" s="386"/>
      <c r="F114" s="386"/>
      <c r="G114" s="386"/>
      <c r="H114" s="386"/>
      <c r="I114" s="386"/>
      <c r="J114" s="386"/>
      <c r="K114" s="386"/>
    </row>
    <row r="115" spans="1:13">
      <c r="A115" s="435"/>
      <c r="B115" s="387" t="s">
        <v>126</v>
      </c>
      <c r="C115" s="387"/>
      <c r="D115" s="230" t="s">
        <v>127</v>
      </c>
      <c r="E115" s="231"/>
      <c r="F115" s="231"/>
      <c r="G115" s="231"/>
      <c r="H115" s="232"/>
      <c r="I115" s="387" t="s">
        <v>128</v>
      </c>
      <c r="J115" s="387"/>
      <c r="K115" s="387"/>
    </row>
    <row r="116" spans="1:13" ht="30" customHeight="1">
      <c r="A116" s="435"/>
      <c r="B116" s="388"/>
      <c r="C116" s="389"/>
      <c r="D116" s="134"/>
      <c r="E116" s="134"/>
      <c r="F116" s="134"/>
      <c r="G116" s="134"/>
      <c r="H116" s="134"/>
      <c r="I116" s="236"/>
      <c r="J116" s="236"/>
      <c r="K116" s="237"/>
    </row>
    <row r="117" spans="1:13" ht="30" customHeight="1">
      <c r="A117" s="435"/>
      <c r="B117" s="390"/>
      <c r="C117" s="391"/>
      <c r="D117" s="140"/>
      <c r="E117" s="140"/>
      <c r="F117" s="140"/>
      <c r="G117" s="140"/>
      <c r="H117" s="140"/>
      <c r="I117" s="239"/>
      <c r="J117" s="239"/>
      <c r="K117" s="240"/>
    </row>
    <row r="118" spans="1:13" s="92" customFormat="1" ht="30" customHeight="1">
      <c r="A118" s="435"/>
      <c r="B118" s="392"/>
      <c r="C118" s="393"/>
      <c r="D118" s="189"/>
      <c r="E118" s="189"/>
      <c r="F118" s="189"/>
      <c r="G118" s="189"/>
      <c r="H118" s="189"/>
      <c r="I118" s="394"/>
      <c r="J118" s="394"/>
      <c r="K118" s="395"/>
      <c r="M118" s="111"/>
    </row>
    <row r="119" spans="1:13" s="92" customFormat="1" ht="5.0999999999999996" customHeight="1">
      <c r="A119" s="396"/>
      <c r="B119" s="396"/>
      <c r="C119" s="396"/>
      <c r="D119" s="396"/>
      <c r="E119" s="396"/>
      <c r="F119" s="396"/>
      <c r="G119" s="396"/>
      <c r="H119" s="396"/>
      <c r="I119" s="396"/>
      <c r="J119" s="396"/>
      <c r="K119" s="396"/>
      <c r="M119" s="111"/>
    </row>
    <row r="120" spans="1:13" ht="30" customHeight="1">
      <c r="A120" s="107"/>
      <c r="B120" s="397" t="s">
        <v>129</v>
      </c>
      <c r="C120" s="319"/>
      <c r="D120" s="319"/>
      <c r="E120" s="319"/>
      <c r="F120" s="319"/>
      <c r="G120" s="319"/>
      <c r="H120" s="319"/>
      <c r="I120" s="319"/>
      <c r="J120" s="319"/>
      <c r="K120" s="398"/>
    </row>
    <row r="121" spans="1:13" ht="240" customHeight="1">
      <c r="A121" s="107"/>
      <c r="B121" s="399"/>
      <c r="C121" s="400"/>
      <c r="D121" s="400"/>
      <c r="E121" s="400"/>
      <c r="F121" s="400"/>
      <c r="G121" s="400"/>
      <c r="H121" s="400"/>
      <c r="I121" s="400"/>
      <c r="J121" s="400"/>
      <c r="K121" s="401"/>
    </row>
    <row r="122" spans="1:13" ht="5.0999999999999996" customHeight="1">
      <c r="A122" s="402"/>
      <c r="B122" s="402"/>
      <c r="C122" s="402"/>
      <c r="D122" s="402"/>
      <c r="E122" s="402"/>
      <c r="F122" s="402"/>
      <c r="G122" s="402"/>
      <c r="H122" s="402"/>
      <c r="I122" s="402"/>
      <c r="J122" s="402"/>
      <c r="K122" s="403"/>
    </row>
    <row r="123" spans="1:13" ht="30" customHeight="1">
      <c r="A123" s="108"/>
      <c r="B123" s="404" t="s">
        <v>130</v>
      </c>
      <c r="C123" s="405"/>
      <c r="D123" s="405"/>
      <c r="E123" s="405"/>
      <c r="F123" s="405"/>
      <c r="G123" s="405"/>
      <c r="H123" s="405"/>
      <c r="I123" s="405"/>
      <c r="J123" s="405"/>
      <c r="K123" s="406"/>
    </row>
    <row r="124" spans="1:13" ht="102.75" customHeight="1">
      <c r="A124" s="108"/>
      <c r="B124" s="407" t="s">
        <v>131</v>
      </c>
      <c r="C124" s="408"/>
      <c r="D124" s="408"/>
      <c r="E124" s="408"/>
      <c r="F124" s="408"/>
      <c r="G124" s="408"/>
      <c r="H124" s="408"/>
      <c r="I124" s="408"/>
      <c r="J124" s="408"/>
      <c r="K124" s="409"/>
    </row>
    <row r="125" spans="1:13" ht="30" customHeight="1">
      <c r="A125" s="108"/>
      <c r="B125" s="410" t="s">
        <v>132</v>
      </c>
      <c r="C125" s="410"/>
      <c r="D125" s="410"/>
      <c r="E125" s="410"/>
      <c r="F125" s="410"/>
      <c r="G125" s="410"/>
      <c r="H125" s="410"/>
      <c r="I125" s="410"/>
      <c r="J125" s="410"/>
      <c r="K125" s="410"/>
    </row>
    <row r="126" spans="1:13" ht="6" customHeight="1">
      <c r="A126" s="411"/>
      <c r="B126" s="411"/>
      <c r="C126" s="411"/>
      <c r="D126" s="411"/>
      <c r="E126" s="411"/>
      <c r="F126" s="411"/>
      <c r="G126" s="411"/>
      <c r="H126" s="411"/>
      <c r="I126" s="411"/>
      <c r="J126" s="411"/>
      <c r="K126" s="411"/>
    </row>
    <row r="127" spans="1:13">
      <c r="A127" s="436"/>
      <c r="B127" s="412" t="s">
        <v>133</v>
      </c>
      <c r="C127" s="413"/>
      <c r="D127" s="413"/>
      <c r="E127" s="413"/>
      <c r="F127" s="413"/>
      <c r="G127" s="413"/>
      <c r="H127" s="413"/>
      <c r="I127" s="413"/>
      <c r="J127" s="413"/>
      <c r="K127" s="414"/>
    </row>
    <row r="128" spans="1:13">
      <c r="A128" s="436"/>
      <c r="B128" s="168" t="s">
        <v>134</v>
      </c>
      <c r="C128" s="168"/>
      <c r="D128" s="168"/>
      <c r="E128" s="168"/>
      <c r="F128" s="168"/>
      <c r="G128" s="168"/>
      <c r="H128" s="168"/>
      <c r="I128" s="168"/>
      <c r="J128" s="168"/>
      <c r="K128" s="112"/>
    </row>
    <row r="129" spans="1:11" ht="15" customHeight="1">
      <c r="A129" s="436"/>
      <c r="B129" s="415" t="s">
        <v>135</v>
      </c>
      <c r="C129" s="416"/>
      <c r="D129" s="416"/>
      <c r="E129" s="416"/>
      <c r="F129" s="416"/>
      <c r="G129" s="416"/>
      <c r="H129" s="416"/>
      <c r="I129" s="416"/>
      <c r="J129" s="417"/>
      <c r="K129" s="114"/>
    </row>
    <row r="130" spans="1:11" hidden="1">
      <c r="A130" s="436"/>
      <c r="B130" s="168" t="s">
        <v>136</v>
      </c>
      <c r="C130" s="168"/>
      <c r="D130" s="168"/>
      <c r="E130" s="168"/>
      <c r="F130" s="168"/>
      <c r="G130" s="168"/>
      <c r="H130" s="168"/>
      <c r="I130" s="168"/>
      <c r="J130" s="168"/>
      <c r="K130" s="115"/>
    </row>
    <row r="131" spans="1:11">
      <c r="A131" s="436"/>
      <c r="B131" s="168" t="s">
        <v>137</v>
      </c>
      <c r="C131" s="168"/>
      <c r="D131" s="168"/>
      <c r="E131" s="168"/>
      <c r="F131" s="168"/>
      <c r="G131" s="168"/>
      <c r="H131" s="168"/>
      <c r="I131" s="168"/>
      <c r="J131" s="168"/>
      <c r="K131" s="114"/>
    </row>
    <row r="132" spans="1:11">
      <c r="A132" s="436"/>
      <c r="B132" s="418" t="s">
        <v>138</v>
      </c>
      <c r="C132" s="418"/>
      <c r="D132" s="418"/>
      <c r="E132" s="418"/>
      <c r="F132" s="418"/>
      <c r="G132" s="418"/>
      <c r="H132" s="418"/>
      <c r="I132" s="418"/>
      <c r="J132" s="418"/>
      <c r="K132" s="114"/>
    </row>
    <row r="133" spans="1:11">
      <c r="A133" s="436"/>
      <c r="B133" s="168" t="s">
        <v>139</v>
      </c>
      <c r="C133" s="168"/>
      <c r="D133" s="168"/>
      <c r="E133" s="168"/>
      <c r="F133" s="168"/>
      <c r="G133" s="168"/>
      <c r="H133" s="168"/>
      <c r="I133" s="168"/>
      <c r="J133" s="168"/>
      <c r="K133" s="116"/>
    </row>
    <row r="134" spans="1:11">
      <c r="A134" s="118"/>
      <c r="B134" s="118"/>
      <c r="C134" s="118"/>
      <c r="D134" s="118"/>
      <c r="E134" s="118"/>
      <c r="F134" s="118"/>
      <c r="G134" s="118"/>
      <c r="H134" s="118"/>
      <c r="I134" s="118"/>
      <c r="J134" s="118"/>
      <c r="K134" s="118"/>
    </row>
    <row r="142" spans="1:11">
      <c r="H142" s="113"/>
      <c r="I142" s="113"/>
      <c r="J142" s="117"/>
      <c r="K142" s="117"/>
    </row>
  </sheetData>
  <sheetProtection password="CF4A" sheet="1" formatRows="0" selectLockedCells="1"/>
  <mergeCells count="258">
    <mergeCell ref="B128:J128"/>
    <mergeCell ref="B129:J129"/>
    <mergeCell ref="B130:J130"/>
    <mergeCell ref="B131:J131"/>
    <mergeCell ref="B132:J132"/>
    <mergeCell ref="B133:J133"/>
    <mergeCell ref="A134:K134"/>
    <mergeCell ref="A6:A12"/>
    <mergeCell ref="A13:A20"/>
    <mergeCell ref="A22:A29"/>
    <mergeCell ref="A31:A34"/>
    <mergeCell ref="A35:A36"/>
    <mergeCell ref="A37:A38"/>
    <mergeCell ref="A39:A43"/>
    <mergeCell ref="A44:A71"/>
    <mergeCell ref="A72:A77"/>
    <mergeCell ref="A79:A97"/>
    <mergeCell ref="A98:A113"/>
    <mergeCell ref="A114:A118"/>
    <mergeCell ref="A127:A133"/>
    <mergeCell ref="B11:B12"/>
    <mergeCell ref="F11:F12"/>
    <mergeCell ref="H55:I57"/>
    <mergeCell ref="J55:K57"/>
    <mergeCell ref="A119:K119"/>
    <mergeCell ref="B120:K120"/>
    <mergeCell ref="B121:K121"/>
    <mergeCell ref="A122:K122"/>
    <mergeCell ref="B123:K123"/>
    <mergeCell ref="B124:K124"/>
    <mergeCell ref="B125:K125"/>
    <mergeCell ref="A126:K126"/>
    <mergeCell ref="B127:K127"/>
    <mergeCell ref="B116:C116"/>
    <mergeCell ref="D116:H116"/>
    <mergeCell ref="I116:K116"/>
    <mergeCell ref="B117:C117"/>
    <mergeCell ref="D117:H117"/>
    <mergeCell ref="I117:K117"/>
    <mergeCell ref="B118:C118"/>
    <mergeCell ref="D118:H118"/>
    <mergeCell ref="I118:K118"/>
    <mergeCell ref="B111:H111"/>
    <mergeCell ref="I111:K111"/>
    <mergeCell ref="B112:I112"/>
    <mergeCell ref="J112:K112"/>
    <mergeCell ref="B113:I113"/>
    <mergeCell ref="J113:K113"/>
    <mergeCell ref="B114:K114"/>
    <mergeCell ref="B115:C115"/>
    <mergeCell ref="D115:H115"/>
    <mergeCell ref="I115:K115"/>
    <mergeCell ref="B106:K106"/>
    <mergeCell ref="B107:F107"/>
    <mergeCell ref="G107:K107"/>
    <mergeCell ref="B108:I108"/>
    <mergeCell ref="J108:K108"/>
    <mergeCell ref="B109:I109"/>
    <mergeCell ref="J109:K109"/>
    <mergeCell ref="B110:F110"/>
    <mergeCell ref="G110:K110"/>
    <mergeCell ref="B101:I101"/>
    <mergeCell ref="J101:K101"/>
    <mergeCell ref="B102:I102"/>
    <mergeCell ref="J102:K102"/>
    <mergeCell ref="B103:I103"/>
    <mergeCell ref="J103:K103"/>
    <mergeCell ref="B104:I104"/>
    <mergeCell ref="J104:K104"/>
    <mergeCell ref="B105:G105"/>
    <mergeCell ref="H105:K105"/>
    <mergeCell ref="B96:G96"/>
    <mergeCell ref="H96:K96"/>
    <mergeCell ref="B97:G97"/>
    <mergeCell ref="H97:K97"/>
    <mergeCell ref="B98:K98"/>
    <mergeCell ref="B99:G99"/>
    <mergeCell ref="H99:K99"/>
    <mergeCell ref="B100:F100"/>
    <mergeCell ref="G100:K100"/>
    <mergeCell ref="B89:K89"/>
    <mergeCell ref="D90:K90"/>
    <mergeCell ref="D91:E91"/>
    <mergeCell ref="F91:K91"/>
    <mergeCell ref="D92:K92"/>
    <mergeCell ref="D93:E93"/>
    <mergeCell ref="F93:K93"/>
    <mergeCell ref="D94:K94"/>
    <mergeCell ref="D95:E95"/>
    <mergeCell ref="F95:K95"/>
    <mergeCell ref="B92:C93"/>
    <mergeCell ref="B94:C95"/>
    <mergeCell ref="B90:C91"/>
    <mergeCell ref="B83:G83"/>
    <mergeCell ref="H83:K83"/>
    <mergeCell ref="B84:K84"/>
    <mergeCell ref="B85:C85"/>
    <mergeCell ref="D85:K85"/>
    <mergeCell ref="B86:K86"/>
    <mergeCell ref="B87:C87"/>
    <mergeCell ref="D87:K87"/>
    <mergeCell ref="B88:G88"/>
    <mergeCell ref="H88:K88"/>
    <mergeCell ref="B78:K78"/>
    <mergeCell ref="B79:E79"/>
    <mergeCell ref="F79:H79"/>
    <mergeCell ref="I79:J79"/>
    <mergeCell ref="B80:G80"/>
    <mergeCell ref="H80:K80"/>
    <mergeCell ref="B81:G81"/>
    <mergeCell ref="H81:K81"/>
    <mergeCell ref="B82:D82"/>
    <mergeCell ref="E82:F82"/>
    <mergeCell ref="G82:I82"/>
    <mergeCell ref="J82:K82"/>
    <mergeCell ref="B72:K72"/>
    <mergeCell ref="B73:K73"/>
    <mergeCell ref="B74:K74"/>
    <mergeCell ref="B75:I75"/>
    <mergeCell ref="J75:K75"/>
    <mergeCell ref="B76:I76"/>
    <mergeCell ref="J76:K76"/>
    <mergeCell ref="B77:I77"/>
    <mergeCell ref="J77:K77"/>
    <mergeCell ref="B68:I68"/>
    <mergeCell ref="J68:K68"/>
    <mergeCell ref="B69:I69"/>
    <mergeCell ref="J69:K69"/>
    <mergeCell ref="B70:I70"/>
    <mergeCell ref="J70:K70"/>
    <mergeCell ref="B71:C71"/>
    <mergeCell ref="D71:I71"/>
    <mergeCell ref="J71:K71"/>
    <mergeCell ref="B63:I63"/>
    <mergeCell ref="J63:K63"/>
    <mergeCell ref="B64:I64"/>
    <mergeCell ref="J64:K64"/>
    <mergeCell ref="B65:I65"/>
    <mergeCell ref="J65:K65"/>
    <mergeCell ref="B66:I66"/>
    <mergeCell ref="J66:K66"/>
    <mergeCell ref="B67:I67"/>
    <mergeCell ref="J67:K67"/>
    <mergeCell ref="C59:G59"/>
    <mergeCell ref="H59:I59"/>
    <mergeCell ref="J59:K59"/>
    <mergeCell ref="B60:G60"/>
    <mergeCell ref="H60:I60"/>
    <mergeCell ref="J60:K60"/>
    <mergeCell ref="B61:K61"/>
    <mergeCell ref="B62:I62"/>
    <mergeCell ref="J62:K62"/>
    <mergeCell ref="B54:G54"/>
    <mergeCell ref="H54:I54"/>
    <mergeCell ref="J54:K54"/>
    <mergeCell ref="B55:G55"/>
    <mergeCell ref="B56:G56"/>
    <mergeCell ref="B57:G57"/>
    <mergeCell ref="B58:G58"/>
    <mergeCell ref="H58:I58"/>
    <mergeCell ref="J58:K58"/>
    <mergeCell ref="B51:G51"/>
    <mergeCell ref="H51:I51"/>
    <mergeCell ref="J51:K51"/>
    <mergeCell ref="B52:G52"/>
    <mergeCell ref="H52:I52"/>
    <mergeCell ref="J52:K52"/>
    <mergeCell ref="B53:G53"/>
    <mergeCell ref="H53:I53"/>
    <mergeCell ref="J53:K53"/>
    <mergeCell ref="B48:G48"/>
    <mergeCell ref="H48:I48"/>
    <mergeCell ref="J48:K48"/>
    <mergeCell ref="B49:G49"/>
    <mergeCell ref="H49:I49"/>
    <mergeCell ref="J49:K49"/>
    <mergeCell ref="B50:G50"/>
    <mergeCell ref="H50:I50"/>
    <mergeCell ref="J50:K50"/>
    <mergeCell ref="B43:K43"/>
    <mergeCell ref="B44:K44"/>
    <mergeCell ref="B45:G45"/>
    <mergeCell ref="H45:I45"/>
    <mergeCell ref="J45:K45"/>
    <mergeCell ref="B46:G46"/>
    <mergeCell ref="H46:I46"/>
    <mergeCell ref="J46:K46"/>
    <mergeCell ref="B47:G47"/>
    <mergeCell ref="H47:I47"/>
    <mergeCell ref="J47:K47"/>
    <mergeCell ref="B37:K37"/>
    <mergeCell ref="B38:F38"/>
    <mergeCell ref="G38:K38"/>
    <mergeCell ref="B39:K39"/>
    <mergeCell ref="B40:K40"/>
    <mergeCell ref="B41:C41"/>
    <mergeCell ref="D41:K41"/>
    <mergeCell ref="B42:G42"/>
    <mergeCell ref="H42:K42"/>
    <mergeCell ref="B29:C29"/>
    <mergeCell ref="D29:K29"/>
    <mergeCell ref="B30:K30"/>
    <mergeCell ref="B31:K31"/>
    <mergeCell ref="B32:K32"/>
    <mergeCell ref="B33:K33"/>
    <mergeCell ref="B34:K34"/>
    <mergeCell ref="B35:K35"/>
    <mergeCell ref="B36:K36"/>
    <mergeCell ref="B24:C24"/>
    <mergeCell ref="D24:K24"/>
    <mergeCell ref="B25:C25"/>
    <mergeCell ref="D25:K25"/>
    <mergeCell ref="B26:C26"/>
    <mergeCell ref="D26:K26"/>
    <mergeCell ref="B27:C27"/>
    <mergeCell ref="D27:K27"/>
    <mergeCell ref="B28:C28"/>
    <mergeCell ref="D28:E28"/>
    <mergeCell ref="G28:H28"/>
    <mergeCell ref="J28:K28"/>
    <mergeCell ref="B19:K19"/>
    <mergeCell ref="B20:K20"/>
    <mergeCell ref="B21:E21"/>
    <mergeCell ref="G21:H21"/>
    <mergeCell ref="J21:K21"/>
    <mergeCell ref="B22:K22"/>
    <mergeCell ref="B23:C23"/>
    <mergeCell ref="D23:H23"/>
    <mergeCell ref="J23:K23"/>
    <mergeCell ref="B15:D15"/>
    <mergeCell ref="E15:K15"/>
    <mergeCell ref="B16:D16"/>
    <mergeCell ref="E16:K16"/>
    <mergeCell ref="B17:D17"/>
    <mergeCell ref="E17:K17"/>
    <mergeCell ref="B18:D18"/>
    <mergeCell ref="E18:F18"/>
    <mergeCell ref="G18:H18"/>
    <mergeCell ref="B9:D9"/>
    <mergeCell ref="E9:K9"/>
    <mergeCell ref="B10:D10"/>
    <mergeCell ref="E10:K10"/>
    <mergeCell ref="G11:K11"/>
    <mergeCell ref="G12:K12"/>
    <mergeCell ref="B13:K13"/>
    <mergeCell ref="B14:D14"/>
    <mergeCell ref="E14:K14"/>
    <mergeCell ref="C11:E12"/>
    <mergeCell ref="A1:L1"/>
    <mergeCell ref="A2:K2"/>
    <mergeCell ref="A3:K3"/>
    <mergeCell ref="A4:K4"/>
    <mergeCell ref="A5:K5"/>
    <mergeCell ref="B6:K6"/>
    <mergeCell ref="B7:D7"/>
    <mergeCell ref="E7:K7"/>
    <mergeCell ref="B8:D8"/>
    <mergeCell ref="E8:K8"/>
  </mergeCells>
  <dataValidations count="21">
    <dataValidation type="textLength" allowBlank="1" showInputMessage="1" showErrorMessage="1" errorTitle="Некорректный ввод данных." error="ИНН должен иметь числовое значение:_x000a_- для юридического лица 10 знаков._x000a_- для физического лица 12 знаков." sqref="E9:K9 E16:K16" xr:uid="{00000000-0002-0000-0000-000000000000}">
      <formula1>10</formula1>
      <formula2>12</formula2>
    </dataValidation>
    <dataValidation type="custom" allowBlank="1" showInputMessage="1" showErrorMessage="1" errorTitle="Некорректный ввод данных." error="Некорректный адрес электронной почты." sqref="G11:K11" xr:uid="{00000000-0002-0000-0000-000001000000}">
      <formula1>ISNUMBER(MATCH("*@*.*",G11,0))</formula1>
    </dataValidation>
    <dataValidation allowBlank="1" showInputMessage="1" showErrorMessage="1" sqref="E18:F18 J58:K58" xr:uid="{00000000-0002-0000-0000-000002000000}"/>
    <dataValidation type="date" allowBlank="1" showInputMessage="1" showErrorMessage="1" errorTitle="Некорректный ввод данных." error="Используйте формат ДД.ММ.ГГГГ." sqref="I18 G21:H21" xr:uid="{00000000-0002-0000-0000-000003000000}">
      <formula1>1</formula1>
      <formula2>73415</formula2>
    </dataValidation>
    <dataValidation type="date" allowBlank="1" showInputMessage="1" showErrorMessage="1" errorTitle="Некорректный ввод данных." error="Используйте формат ДД.ММ.ГГГГ._x000a_Дата &quot;по:&quot; не может быть меньше даты &quot;Действует с:&quot;." sqref="K18" xr:uid="{00000000-0002-0000-0000-000004000000}">
      <formula1>I18</formula1>
      <formula2>73415</formula2>
    </dataValidation>
    <dataValidation type="date" allowBlank="1" showInputMessage="1" showErrorMessage="1" errorTitle="Некорректный ввод данных." error="Используйте формат ДД.ММ.ГГГГ._x000a_Дата &quot;по:&quot; не может быть меньше даты &quot;с:&quot;." sqref="J21:K21" xr:uid="{00000000-0002-0000-0000-000005000000}">
      <formula1>G21</formula1>
      <formula2>73415</formula2>
    </dataValidation>
    <dataValidation type="whole" allowBlank="1" showInputMessage="1" showErrorMessage="1" errorTitle="Некорректный ввод данных." error="Используйте шестизначное целое число для ввода. " sqref="J23:K23" xr:uid="{00000000-0002-0000-0000-000006000000}">
      <formula1>100000</formula1>
      <formula2>999999</formula2>
    </dataValidation>
    <dataValidation allowBlank="1" showInputMessage="1" errorTitle="Некорректный ввод данных." error="Пожалуйста, используйте целое число для ввода." sqref="D28" xr:uid="{00000000-0002-0000-0000-000007000000}"/>
    <dataValidation allowBlank="1" showInputMessage="1" sqref="J28:K28 D29:K29" xr:uid="{00000000-0002-0000-0000-000008000000}"/>
    <dataValidation type="list" allowBlank="1" showInputMessage="1" showErrorMessage="1" error="Пожалуйста, выберите вариант из списка" sqref="B34:K34" xr:uid="{00000000-0002-0000-0000-00000A000000}">
      <formula1>поиск1</formula1>
    </dataValidation>
    <dataValidation type="decimal" operator="greaterThan" allowBlank="1" showInputMessage="1" showErrorMessage="1" errorTitle="Некорректный ввод данных." error="Страховая стоимость должна иметь числовое значение и не может быть меньше или равна 0." sqref="J59:K59 J46:K53" xr:uid="{00000000-0002-0000-0000-00000C000000}">
      <formula1>0</formula1>
    </dataValidation>
    <dataValidation type="decimal" errorStyle="information" operator="greaterThan" allowBlank="1" showInputMessage="1" showErrorMessage="1" error="Страховая сумма не может быть равна или меньше 0" sqref="H60" xr:uid="{00000000-0002-0000-0000-00000D000000}">
      <formula1>0</formula1>
    </dataValidation>
    <dataValidation type="decimal" operator="greaterThanOrEqual" allowBlank="1" showInputMessage="1" showErrorMessage="1" errorTitle="Некорректный ввод данных." error="Общая площадь должна иметь числовое значение и не может быть меньше или равна 0, а так же меньше занимаемой площади здания. _x000a__x000a__x000a_" sqref="E82:F82" xr:uid="{00000000-0002-0000-0000-00000F000000}">
      <formula1>J82</formula1>
    </dataValidation>
    <dataValidation type="decimal" allowBlank="1" showInputMessage="1" showErrorMessage="1" errorTitle="Некорректный ввод данных." error="Занимаемая площадь должна иметь числовое значение и не может быть меньше или равна 0, а так же больше общей площади здания." sqref="J82:K82" xr:uid="{00000000-0002-0000-0000-000010000000}">
      <formula1>0.01</formula1>
      <formula2>E82</formula2>
    </dataValidation>
    <dataValidation type="whole" operator="greaterThan" allowBlank="1" showInputMessage="1" showErrorMessage="1" errorTitle="Некорректный ввод данных." error="Укажите число равное и больше 0." sqref="I111:K111" xr:uid="{00000000-0002-0000-0000-000011000000}">
      <formula1>0</formula1>
    </dataValidation>
    <dataValidation type="decimal" operator="greaterThan" allowBlank="1" showInputMessage="1" showErrorMessage="1" errorTitle="Некорректный ввод данных." error="Лимит возмещения должен иметь числовое значение и не может быть равен или меньше 0." sqref="J76:J77" xr:uid="{00000000-0002-0000-0000-000012000000}">
      <formula1>0</formula1>
    </dataValidation>
    <dataValidation type="decimal" operator="greaterThan" allowBlank="1" showInputMessage="1" showErrorMessage="1" errorTitle="Некорректный ввод данных." error="Страховая сумма должна иметь числовое значение и не может быть меньше или равна 0." sqref="H46:I53 H55:I59" xr:uid="{00000000-0002-0000-0000-000013000000}">
      <formula1>0</formula1>
    </dataValidation>
    <dataValidation type="decimal" operator="greaterThan" allowBlank="1" showInputMessage="1" showErrorMessage="1" errorTitle="Некорректный ввод данных." error="Сумма ущерба должна иметь числовое значение и не может быть меньше или равна 0." sqref="I116:K118" xr:uid="{00000000-0002-0000-0000-000014000000}">
      <formula1>0</formula1>
    </dataValidation>
    <dataValidation type="decimal" operator="greaterThan" allowBlank="1" showInputMessage="1" showErrorMessage="1" errorTitle="Некорректный ввод данных." error="Стоимость максимальных остатков ТМЦ должна иметь числовое значение и не может быть меньше или равна 0." sqref="J55:K57" xr:uid="{00000000-0002-0000-0000-000015000000}">
      <formula1>0</formula1>
    </dataValidation>
    <dataValidation allowBlank="1" showInputMessage="1" errorTitle="Некорректный ввод данных." error="Некорректный номер телефна." sqref="C11:E12" xr:uid="{00000000-0002-0000-0000-000016000000}"/>
    <dataValidation type="decimal" operator="greaterThan" allowBlank="1" showInputMessage="1" showErrorMessage="1" errorTitle="Некорректный ввод данных." error="Лимит возмещения должен иметь числовое значение и не может быть меньше или равна 0." sqref="J63:K71" xr:uid="{00000000-0002-0000-0000-000017000000}">
      <formula1>0</formula1>
    </dataValidation>
  </dataValidations>
  <pageMargins left="0.7" right="0.7" top="0.75" bottom="0.75" header="0.3" footer="0.3"/>
  <pageSetup paperSize="9" scale="73" orientation="portrait" blackAndWhite="1" r:id="rId1"/>
  <headerFooter>
    <oddFooter>&amp;L&amp;P&amp;RПодпись:  __________________ М.П.            
/___________________________ /  (Ф.И.О. должность)</oddFooter>
  </headerFooter>
  <rowBreaks count="3" manualBreakCount="3">
    <brk id="43" max="10" man="1"/>
    <brk id="71" max="10" man="1"/>
    <brk id="113" max="10" man="1"/>
  </rowBreaks>
  <drawing r:id="rId2"/>
  <legacyDrawing r:id="rId3"/>
  <mc:AlternateContent xmlns:mc="http://schemas.openxmlformats.org/markup-compatibility/2006">
    <mc:Choice Requires="x14">
      <controls>
        <mc:AlternateContent xmlns:mc="http://schemas.openxmlformats.org/markup-compatibility/2006">
          <mc:Choice Requires="x14">
            <control shapeId="28673" r:id="rId4" name="Option Button 1">
              <controlPr defaultSize="0" autoPict="0">
                <anchor moveWithCells="1">
                  <from>
                    <xdr:col>1</xdr:col>
                    <xdr:colOff>57150</xdr:colOff>
                    <xdr:row>39</xdr:row>
                    <xdr:rowOff>28575</xdr:rowOff>
                  </from>
                  <to>
                    <xdr:col>6</xdr:col>
                    <xdr:colOff>419100</xdr:colOff>
                    <xdr:row>39</xdr:row>
                    <xdr:rowOff>171450</xdr:rowOff>
                  </to>
                </anchor>
              </controlPr>
            </control>
          </mc:Choice>
        </mc:AlternateContent>
        <mc:AlternateContent xmlns:mc="http://schemas.openxmlformats.org/markup-compatibility/2006">
          <mc:Choice Requires="x14">
            <control shapeId="28674" r:id="rId5" name="Option Button 2">
              <controlPr defaultSize="0" autoPict="0">
                <anchor moveWithCells="1">
                  <from>
                    <xdr:col>1</xdr:col>
                    <xdr:colOff>57150</xdr:colOff>
                    <xdr:row>39</xdr:row>
                    <xdr:rowOff>219075</xdr:rowOff>
                  </from>
                  <to>
                    <xdr:col>6</xdr:col>
                    <xdr:colOff>19050</xdr:colOff>
                    <xdr:row>39</xdr:row>
                    <xdr:rowOff>352425</xdr:rowOff>
                  </to>
                </anchor>
              </controlPr>
            </control>
          </mc:Choice>
        </mc:AlternateContent>
        <mc:AlternateContent xmlns:mc="http://schemas.openxmlformats.org/markup-compatibility/2006">
          <mc:Choice Requires="x14">
            <control shapeId="28675" r:id="rId6" name="Option Button 3">
              <controlPr defaultSize="0" autoPict="0">
                <anchor moveWithCells="1">
                  <from>
                    <xdr:col>1</xdr:col>
                    <xdr:colOff>57150</xdr:colOff>
                    <xdr:row>39</xdr:row>
                    <xdr:rowOff>390525</xdr:rowOff>
                  </from>
                  <to>
                    <xdr:col>4</xdr:col>
                    <xdr:colOff>95250</xdr:colOff>
                    <xdr:row>39</xdr:row>
                    <xdr:rowOff>552450</xdr:rowOff>
                  </to>
                </anchor>
              </controlPr>
            </control>
          </mc:Choice>
        </mc:AlternateContent>
        <mc:AlternateContent xmlns:mc="http://schemas.openxmlformats.org/markup-compatibility/2006">
          <mc:Choice Requires="x14">
            <control shapeId="28676" r:id="rId7" name="Option Button 4">
              <controlPr defaultSize="0" autoPict="0">
                <anchor moveWithCells="1">
                  <from>
                    <xdr:col>1</xdr:col>
                    <xdr:colOff>57150</xdr:colOff>
                    <xdr:row>39</xdr:row>
                    <xdr:rowOff>571500</xdr:rowOff>
                  </from>
                  <to>
                    <xdr:col>3</xdr:col>
                    <xdr:colOff>600075</xdr:colOff>
                    <xdr:row>39</xdr:row>
                    <xdr:rowOff>752475</xdr:rowOff>
                  </to>
                </anchor>
              </controlPr>
            </control>
          </mc:Choice>
        </mc:AlternateContent>
        <mc:AlternateContent xmlns:mc="http://schemas.openxmlformats.org/markup-compatibility/2006">
          <mc:Choice Requires="x14">
            <control shapeId="28677" r:id="rId8" name="Option Button 5">
              <controlPr defaultSize="0" autoPict="0">
                <anchor moveWithCells="1">
                  <from>
                    <xdr:col>1</xdr:col>
                    <xdr:colOff>76200</xdr:colOff>
                    <xdr:row>37</xdr:row>
                    <xdr:rowOff>28575</xdr:rowOff>
                  </from>
                  <to>
                    <xdr:col>1</xdr:col>
                    <xdr:colOff>647700</xdr:colOff>
                    <xdr:row>37</xdr:row>
                    <xdr:rowOff>161925</xdr:rowOff>
                  </to>
                </anchor>
              </controlPr>
            </control>
          </mc:Choice>
        </mc:AlternateContent>
        <mc:AlternateContent xmlns:mc="http://schemas.openxmlformats.org/markup-compatibility/2006">
          <mc:Choice Requires="x14">
            <control shapeId="28678" r:id="rId9" name="Option Button 6">
              <controlPr defaultSize="0" autoPict="0">
                <anchor moveWithCells="1">
                  <from>
                    <xdr:col>2</xdr:col>
                    <xdr:colOff>104775</xdr:colOff>
                    <xdr:row>37</xdr:row>
                    <xdr:rowOff>38100</xdr:rowOff>
                  </from>
                  <to>
                    <xdr:col>2</xdr:col>
                    <xdr:colOff>619125</xdr:colOff>
                    <xdr:row>37</xdr:row>
                    <xdr:rowOff>161925</xdr:rowOff>
                  </to>
                </anchor>
              </controlPr>
            </control>
          </mc:Choice>
        </mc:AlternateContent>
        <mc:AlternateContent xmlns:mc="http://schemas.openxmlformats.org/markup-compatibility/2006">
          <mc:Choice Requires="x14">
            <control shapeId="28679" r:id="rId10" name="Option Button 7">
              <controlPr defaultSize="0" autoPict="0">
                <anchor moveWithCells="1">
                  <from>
                    <xdr:col>3</xdr:col>
                    <xdr:colOff>28575</xdr:colOff>
                    <xdr:row>37</xdr:row>
                    <xdr:rowOff>28575</xdr:rowOff>
                  </from>
                  <to>
                    <xdr:col>4</xdr:col>
                    <xdr:colOff>257175</xdr:colOff>
                    <xdr:row>37</xdr:row>
                    <xdr:rowOff>161925</xdr:rowOff>
                  </to>
                </anchor>
              </controlPr>
            </control>
          </mc:Choice>
        </mc:AlternateContent>
        <mc:AlternateContent xmlns:mc="http://schemas.openxmlformats.org/markup-compatibility/2006">
          <mc:Choice Requires="x14">
            <control shapeId="28680" r:id="rId11" name="Option Button 8">
              <controlPr defaultSize="0" autoPict="0">
                <anchor moveWithCells="1">
                  <from>
                    <xdr:col>4</xdr:col>
                    <xdr:colOff>400050</xdr:colOff>
                    <xdr:row>37</xdr:row>
                    <xdr:rowOff>28575</xdr:rowOff>
                  </from>
                  <to>
                    <xdr:col>5</xdr:col>
                    <xdr:colOff>619125</xdr:colOff>
                    <xdr:row>37</xdr:row>
                    <xdr:rowOff>171450</xdr:rowOff>
                  </to>
                </anchor>
              </controlPr>
            </control>
          </mc:Choice>
        </mc:AlternateContent>
        <mc:AlternateContent xmlns:mc="http://schemas.openxmlformats.org/markup-compatibility/2006">
          <mc:Choice Requires="x14">
            <control shapeId="28682" r:id="rId12" name="Check Box 10">
              <controlPr defaultSize="0" autoPict="0">
                <anchor moveWithCells="1">
                  <from>
                    <xdr:col>1</xdr:col>
                    <xdr:colOff>47625</xdr:colOff>
                    <xdr:row>75</xdr:row>
                    <xdr:rowOff>28575</xdr:rowOff>
                  </from>
                  <to>
                    <xdr:col>6</xdr:col>
                    <xdr:colOff>228600</xdr:colOff>
                    <xdr:row>75</xdr:row>
                    <xdr:rowOff>171450</xdr:rowOff>
                  </to>
                </anchor>
              </controlPr>
            </control>
          </mc:Choice>
        </mc:AlternateContent>
        <mc:AlternateContent xmlns:mc="http://schemas.openxmlformats.org/markup-compatibility/2006">
          <mc:Choice Requires="x14">
            <control shapeId="28683" r:id="rId13" name="Check Box 11">
              <controlPr defaultSize="0" autoPict="0">
                <anchor moveWithCells="1">
                  <from>
                    <xdr:col>1</xdr:col>
                    <xdr:colOff>47625</xdr:colOff>
                    <xdr:row>76</xdr:row>
                    <xdr:rowOff>28575</xdr:rowOff>
                  </from>
                  <to>
                    <xdr:col>5</xdr:col>
                    <xdr:colOff>419100</xdr:colOff>
                    <xdr:row>76</xdr:row>
                    <xdr:rowOff>161925</xdr:rowOff>
                  </to>
                </anchor>
              </controlPr>
            </control>
          </mc:Choice>
        </mc:AlternateContent>
        <mc:AlternateContent xmlns:mc="http://schemas.openxmlformats.org/markup-compatibility/2006">
          <mc:Choice Requires="x14">
            <control shapeId="28684" r:id="rId14" name="Option Button 12">
              <controlPr defaultSize="0" autoPict="0">
                <anchor moveWithCells="1">
                  <from>
                    <xdr:col>7</xdr:col>
                    <xdr:colOff>9525</xdr:colOff>
                    <xdr:row>82</xdr:row>
                    <xdr:rowOff>28575</xdr:rowOff>
                  </from>
                  <to>
                    <xdr:col>8</xdr:col>
                    <xdr:colOff>447675</xdr:colOff>
                    <xdr:row>82</xdr:row>
                    <xdr:rowOff>171450</xdr:rowOff>
                  </to>
                </anchor>
              </controlPr>
            </control>
          </mc:Choice>
        </mc:AlternateContent>
        <mc:AlternateContent xmlns:mc="http://schemas.openxmlformats.org/markup-compatibility/2006">
          <mc:Choice Requires="x14">
            <control shapeId="28685" r:id="rId15" name="Option Button 13">
              <controlPr defaultSize="0" autoPict="0">
                <anchor moveWithCells="1">
                  <from>
                    <xdr:col>9</xdr:col>
                    <xdr:colOff>76200</xdr:colOff>
                    <xdr:row>82</xdr:row>
                    <xdr:rowOff>28575</xdr:rowOff>
                  </from>
                  <to>
                    <xdr:col>10</xdr:col>
                    <xdr:colOff>295275</xdr:colOff>
                    <xdr:row>82</xdr:row>
                    <xdr:rowOff>161925</xdr:rowOff>
                  </to>
                </anchor>
              </controlPr>
            </control>
          </mc:Choice>
        </mc:AlternateContent>
        <mc:AlternateContent xmlns:mc="http://schemas.openxmlformats.org/markup-compatibility/2006">
          <mc:Choice Requires="x14">
            <control shapeId="28687" r:id="rId16" name="Option Button 15">
              <controlPr defaultSize="0" autoPict="0">
                <anchor moveWithCells="1">
                  <from>
                    <xdr:col>1</xdr:col>
                    <xdr:colOff>85725</xdr:colOff>
                    <xdr:row>84</xdr:row>
                    <xdr:rowOff>85725</xdr:rowOff>
                  </from>
                  <to>
                    <xdr:col>2</xdr:col>
                    <xdr:colOff>180975</xdr:colOff>
                    <xdr:row>84</xdr:row>
                    <xdr:rowOff>247650</xdr:rowOff>
                  </to>
                </anchor>
              </controlPr>
            </control>
          </mc:Choice>
        </mc:AlternateContent>
        <mc:AlternateContent xmlns:mc="http://schemas.openxmlformats.org/markup-compatibility/2006">
          <mc:Choice Requires="x14">
            <control shapeId="28688" r:id="rId17" name="Option Button 16">
              <controlPr defaultSize="0" autoPict="0">
                <anchor moveWithCells="1">
                  <from>
                    <xdr:col>1</xdr:col>
                    <xdr:colOff>85725</xdr:colOff>
                    <xdr:row>84</xdr:row>
                    <xdr:rowOff>285750</xdr:rowOff>
                  </from>
                  <to>
                    <xdr:col>2</xdr:col>
                    <xdr:colOff>76200</xdr:colOff>
                    <xdr:row>84</xdr:row>
                    <xdr:rowOff>447675</xdr:rowOff>
                  </to>
                </anchor>
              </controlPr>
            </control>
          </mc:Choice>
        </mc:AlternateContent>
        <mc:AlternateContent xmlns:mc="http://schemas.openxmlformats.org/markup-compatibility/2006">
          <mc:Choice Requires="x14">
            <control shapeId="28690" r:id="rId18" name="Option Button 18">
              <controlPr defaultSize="0" autoPict="0" altText="Не применяются">
                <anchor moveWithCells="1">
                  <from>
                    <xdr:col>1</xdr:col>
                    <xdr:colOff>76200</xdr:colOff>
                    <xdr:row>86</xdr:row>
                    <xdr:rowOff>104775</xdr:rowOff>
                  </from>
                  <to>
                    <xdr:col>2</xdr:col>
                    <xdr:colOff>409575</xdr:colOff>
                    <xdr:row>86</xdr:row>
                    <xdr:rowOff>247650</xdr:rowOff>
                  </to>
                </anchor>
              </controlPr>
            </control>
          </mc:Choice>
        </mc:AlternateContent>
        <mc:AlternateContent xmlns:mc="http://schemas.openxmlformats.org/markup-compatibility/2006">
          <mc:Choice Requires="x14">
            <control shapeId="28691" r:id="rId19" name="Option Button 19">
              <controlPr defaultSize="0" autoPict="0" altText="Не применяются">
                <anchor moveWithCells="1">
                  <from>
                    <xdr:col>1</xdr:col>
                    <xdr:colOff>76200</xdr:colOff>
                    <xdr:row>86</xdr:row>
                    <xdr:rowOff>304800</xdr:rowOff>
                  </from>
                  <to>
                    <xdr:col>2</xdr:col>
                    <xdr:colOff>314325</xdr:colOff>
                    <xdr:row>86</xdr:row>
                    <xdr:rowOff>438150</xdr:rowOff>
                  </to>
                </anchor>
              </controlPr>
            </control>
          </mc:Choice>
        </mc:AlternateContent>
        <mc:AlternateContent xmlns:mc="http://schemas.openxmlformats.org/markup-compatibility/2006">
          <mc:Choice Requires="x14">
            <control shapeId="28692" r:id="rId20" name="Option Button 20">
              <controlPr defaultSize="0" autoPict="0">
                <anchor moveWithCells="1">
                  <from>
                    <xdr:col>7</xdr:col>
                    <xdr:colOff>9525</xdr:colOff>
                    <xdr:row>87</xdr:row>
                    <xdr:rowOff>19050</xdr:rowOff>
                  </from>
                  <to>
                    <xdr:col>8</xdr:col>
                    <xdr:colOff>371475</xdr:colOff>
                    <xdr:row>87</xdr:row>
                    <xdr:rowOff>161925</xdr:rowOff>
                  </to>
                </anchor>
              </controlPr>
            </control>
          </mc:Choice>
        </mc:AlternateContent>
        <mc:AlternateContent xmlns:mc="http://schemas.openxmlformats.org/markup-compatibility/2006">
          <mc:Choice Requires="x14">
            <control shapeId="28693" r:id="rId21" name="Option Button 21">
              <controlPr defaultSize="0" autoPict="0">
                <anchor moveWithCells="1">
                  <from>
                    <xdr:col>9</xdr:col>
                    <xdr:colOff>161925</xdr:colOff>
                    <xdr:row>87</xdr:row>
                    <xdr:rowOff>28575</xdr:rowOff>
                  </from>
                  <to>
                    <xdr:col>10</xdr:col>
                    <xdr:colOff>542925</xdr:colOff>
                    <xdr:row>87</xdr:row>
                    <xdr:rowOff>171450</xdr:rowOff>
                  </to>
                </anchor>
              </controlPr>
            </control>
          </mc:Choice>
        </mc:AlternateContent>
        <mc:AlternateContent xmlns:mc="http://schemas.openxmlformats.org/markup-compatibility/2006">
          <mc:Choice Requires="x14">
            <control shapeId="28695" r:id="rId22" name="Option Button 23">
              <controlPr defaultSize="0" autoPict="0">
                <anchor moveWithCells="1">
                  <from>
                    <xdr:col>3</xdr:col>
                    <xdr:colOff>19050</xdr:colOff>
                    <xdr:row>89</xdr:row>
                    <xdr:rowOff>28575</xdr:rowOff>
                  </from>
                  <to>
                    <xdr:col>4</xdr:col>
                    <xdr:colOff>171450</xdr:colOff>
                    <xdr:row>89</xdr:row>
                    <xdr:rowOff>171450</xdr:rowOff>
                  </to>
                </anchor>
              </controlPr>
            </control>
          </mc:Choice>
        </mc:AlternateContent>
        <mc:AlternateContent xmlns:mc="http://schemas.openxmlformats.org/markup-compatibility/2006">
          <mc:Choice Requires="x14">
            <control shapeId="28696" r:id="rId23" name="Option Button 24">
              <controlPr defaultSize="0" autoPict="0">
                <anchor moveWithCells="1">
                  <from>
                    <xdr:col>4</xdr:col>
                    <xdr:colOff>266700</xdr:colOff>
                    <xdr:row>89</xdr:row>
                    <xdr:rowOff>28575</xdr:rowOff>
                  </from>
                  <to>
                    <xdr:col>5</xdr:col>
                    <xdr:colOff>352425</xdr:colOff>
                    <xdr:row>89</xdr:row>
                    <xdr:rowOff>171450</xdr:rowOff>
                  </to>
                </anchor>
              </controlPr>
            </control>
          </mc:Choice>
        </mc:AlternateContent>
        <mc:AlternateContent xmlns:mc="http://schemas.openxmlformats.org/markup-compatibility/2006">
          <mc:Choice Requires="x14">
            <control shapeId="28697" r:id="rId24" name="Option Button 25">
              <controlPr defaultSize="0" autoPict="0">
                <anchor moveWithCells="1">
                  <from>
                    <xdr:col>5</xdr:col>
                    <xdr:colOff>485775</xdr:colOff>
                    <xdr:row>89</xdr:row>
                    <xdr:rowOff>19050</xdr:rowOff>
                  </from>
                  <to>
                    <xdr:col>7</xdr:col>
                    <xdr:colOff>133350</xdr:colOff>
                    <xdr:row>89</xdr:row>
                    <xdr:rowOff>161925</xdr:rowOff>
                  </to>
                </anchor>
              </controlPr>
            </control>
          </mc:Choice>
        </mc:AlternateContent>
        <mc:AlternateContent xmlns:mc="http://schemas.openxmlformats.org/markup-compatibility/2006">
          <mc:Choice Requires="x14">
            <control shapeId="28698" r:id="rId25" name="Option Button 26">
              <controlPr defaultSize="0" autoPict="0">
                <anchor moveWithCells="1">
                  <from>
                    <xdr:col>7</xdr:col>
                    <xdr:colOff>352425</xdr:colOff>
                    <xdr:row>89</xdr:row>
                    <xdr:rowOff>28575</xdr:rowOff>
                  </from>
                  <to>
                    <xdr:col>9</xdr:col>
                    <xdr:colOff>333375</xdr:colOff>
                    <xdr:row>89</xdr:row>
                    <xdr:rowOff>171450</xdr:rowOff>
                  </to>
                </anchor>
              </controlPr>
            </control>
          </mc:Choice>
        </mc:AlternateContent>
        <mc:AlternateContent xmlns:mc="http://schemas.openxmlformats.org/markup-compatibility/2006">
          <mc:Choice Requires="x14">
            <control shapeId="28699" r:id="rId26" name="Option Button 27">
              <controlPr defaultSize="0" autoPict="0">
                <anchor moveWithCells="1">
                  <from>
                    <xdr:col>9</xdr:col>
                    <xdr:colOff>552450</xdr:colOff>
                    <xdr:row>89</xdr:row>
                    <xdr:rowOff>28575</xdr:rowOff>
                  </from>
                  <to>
                    <xdr:col>10</xdr:col>
                    <xdr:colOff>638175</xdr:colOff>
                    <xdr:row>89</xdr:row>
                    <xdr:rowOff>171450</xdr:rowOff>
                  </to>
                </anchor>
              </controlPr>
            </control>
          </mc:Choice>
        </mc:AlternateContent>
        <mc:AlternateContent xmlns:mc="http://schemas.openxmlformats.org/markup-compatibility/2006">
          <mc:Choice Requires="x14">
            <control shapeId="28700" r:id="rId27" name="Option Button 28">
              <controlPr defaultSize="0" autoPict="0">
                <anchor moveWithCells="1">
                  <from>
                    <xdr:col>3</xdr:col>
                    <xdr:colOff>19050</xdr:colOff>
                    <xdr:row>90</xdr:row>
                    <xdr:rowOff>19050</xdr:rowOff>
                  </from>
                  <to>
                    <xdr:col>4</xdr:col>
                    <xdr:colOff>266700</xdr:colOff>
                    <xdr:row>90</xdr:row>
                    <xdr:rowOff>161925</xdr:rowOff>
                  </to>
                </anchor>
              </controlPr>
            </control>
          </mc:Choice>
        </mc:AlternateContent>
        <mc:AlternateContent xmlns:mc="http://schemas.openxmlformats.org/markup-compatibility/2006">
          <mc:Choice Requires="x14">
            <control shapeId="28702" r:id="rId28" name="Option Button 30">
              <controlPr defaultSize="0" autoPict="0">
                <anchor moveWithCells="1">
                  <from>
                    <xdr:col>3</xdr:col>
                    <xdr:colOff>19050</xdr:colOff>
                    <xdr:row>93</xdr:row>
                    <xdr:rowOff>38100</xdr:rowOff>
                  </from>
                  <to>
                    <xdr:col>3</xdr:col>
                    <xdr:colOff>657225</xdr:colOff>
                    <xdr:row>93</xdr:row>
                    <xdr:rowOff>180975</xdr:rowOff>
                  </to>
                </anchor>
              </controlPr>
            </control>
          </mc:Choice>
        </mc:AlternateContent>
        <mc:AlternateContent xmlns:mc="http://schemas.openxmlformats.org/markup-compatibility/2006">
          <mc:Choice Requires="x14">
            <control shapeId="28703" r:id="rId29" name="Option Button 31">
              <controlPr defaultSize="0" autoPict="0">
                <anchor moveWithCells="1">
                  <from>
                    <xdr:col>4</xdr:col>
                    <xdr:colOff>257175</xdr:colOff>
                    <xdr:row>93</xdr:row>
                    <xdr:rowOff>28575</xdr:rowOff>
                  </from>
                  <to>
                    <xdr:col>6</xdr:col>
                    <xdr:colOff>152400</xdr:colOff>
                    <xdr:row>93</xdr:row>
                    <xdr:rowOff>171450</xdr:rowOff>
                  </to>
                </anchor>
              </controlPr>
            </control>
          </mc:Choice>
        </mc:AlternateContent>
        <mc:AlternateContent xmlns:mc="http://schemas.openxmlformats.org/markup-compatibility/2006">
          <mc:Choice Requires="x14">
            <control shapeId="28704" r:id="rId30" name="Option Button 32">
              <controlPr defaultSize="0" autoPict="0">
                <anchor moveWithCells="1">
                  <from>
                    <xdr:col>6</xdr:col>
                    <xdr:colOff>371475</xdr:colOff>
                    <xdr:row>93</xdr:row>
                    <xdr:rowOff>19050</xdr:rowOff>
                  </from>
                  <to>
                    <xdr:col>8</xdr:col>
                    <xdr:colOff>142875</xdr:colOff>
                    <xdr:row>93</xdr:row>
                    <xdr:rowOff>171450</xdr:rowOff>
                  </to>
                </anchor>
              </controlPr>
            </control>
          </mc:Choice>
        </mc:AlternateContent>
        <mc:AlternateContent xmlns:mc="http://schemas.openxmlformats.org/markup-compatibility/2006">
          <mc:Choice Requires="x14">
            <control shapeId="28705" r:id="rId31" name="Option Button 33">
              <controlPr defaultSize="0" autoPict="0">
                <anchor moveWithCells="1">
                  <from>
                    <xdr:col>8</xdr:col>
                    <xdr:colOff>495300</xdr:colOff>
                    <xdr:row>93</xdr:row>
                    <xdr:rowOff>38100</xdr:rowOff>
                  </from>
                  <to>
                    <xdr:col>10</xdr:col>
                    <xdr:colOff>581025</xdr:colOff>
                    <xdr:row>93</xdr:row>
                    <xdr:rowOff>161925</xdr:rowOff>
                  </to>
                </anchor>
              </controlPr>
            </control>
          </mc:Choice>
        </mc:AlternateContent>
        <mc:AlternateContent xmlns:mc="http://schemas.openxmlformats.org/markup-compatibility/2006">
          <mc:Choice Requires="x14">
            <control shapeId="28706" r:id="rId32" name="Option Button 34">
              <controlPr defaultSize="0" autoPict="0">
                <anchor moveWithCells="1">
                  <from>
                    <xdr:col>3</xdr:col>
                    <xdr:colOff>19050</xdr:colOff>
                    <xdr:row>94</xdr:row>
                    <xdr:rowOff>9525</xdr:rowOff>
                  </from>
                  <to>
                    <xdr:col>4</xdr:col>
                    <xdr:colOff>314325</xdr:colOff>
                    <xdr:row>94</xdr:row>
                    <xdr:rowOff>161925</xdr:rowOff>
                  </to>
                </anchor>
              </controlPr>
            </control>
          </mc:Choice>
        </mc:AlternateContent>
        <mc:AlternateContent xmlns:mc="http://schemas.openxmlformats.org/markup-compatibility/2006">
          <mc:Choice Requires="x14">
            <control shapeId="28708" r:id="rId33" name="Option Button 36">
              <controlPr defaultSize="0" autoPict="0">
                <anchor moveWithCells="1">
                  <from>
                    <xdr:col>7</xdr:col>
                    <xdr:colOff>9525</xdr:colOff>
                    <xdr:row>95</xdr:row>
                    <xdr:rowOff>28575</xdr:rowOff>
                  </from>
                  <to>
                    <xdr:col>8</xdr:col>
                    <xdr:colOff>95250</xdr:colOff>
                    <xdr:row>95</xdr:row>
                    <xdr:rowOff>161925</xdr:rowOff>
                  </to>
                </anchor>
              </controlPr>
            </control>
          </mc:Choice>
        </mc:AlternateContent>
        <mc:AlternateContent xmlns:mc="http://schemas.openxmlformats.org/markup-compatibility/2006">
          <mc:Choice Requires="x14">
            <control shapeId="28709" r:id="rId34" name="Option Button 37">
              <controlPr defaultSize="0" autoPict="0">
                <anchor moveWithCells="1">
                  <from>
                    <xdr:col>8</xdr:col>
                    <xdr:colOff>504825</xdr:colOff>
                    <xdr:row>95</xdr:row>
                    <xdr:rowOff>28575</xdr:rowOff>
                  </from>
                  <to>
                    <xdr:col>9</xdr:col>
                    <xdr:colOff>638175</xdr:colOff>
                    <xdr:row>95</xdr:row>
                    <xdr:rowOff>171450</xdr:rowOff>
                  </to>
                </anchor>
              </controlPr>
            </control>
          </mc:Choice>
        </mc:AlternateContent>
        <mc:AlternateContent xmlns:mc="http://schemas.openxmlformats.org/markup-compatibility/2006">
          <mc:Choice Requires="x14">
            <control shapeId="28710" r:id="rId35" name="Option Button 38">
              <controlPr defaultSize="0" autoPict="0">
                <anchor moveWithCells="1">
                  <from>
                    <xdr:col>7</xdr:col>
                    <xdr:colOff>19050</xdr:colOff>
                    <xdr:row>98</xdr:row>
                    <xdr:rowOff>28575</xdr:rowOff>
                  </from>
                  <to>
                    <xdr:col>10</xdr:col>
                    <xdr:colOff>152400</xdr:colOff>
                    <xdr:row>98</xdr:row>
                    <xdr:rowOff>171450</xdr:rowOff>
                  </to>
                </anchor>
              </controlPr>
            </control>
          </mc:Choice>
        </mc:AlternateContent>
        <mc:AlternateContent xmlns:mc="http://schemas.openxmlformats.org/markup-compatibility/2006">
          <mc:Choice Requires="x14">
            <control shapeId="28711" r:id="rId36" name="Option Button 39">
              <controlPr defaultSize="0" autoPict="0">
                <anchor moveWithCells="1">
                  <from>
                    <xdr:col>7</xdr:col>
                    <xdr:colOff>19050</xdr:colOff>
                    <xdr:row>98</xdr:row>
                    <xdr:rowOff>209550</xdr:rowOff>
                  </from>
                  <to>
                    <xdr:col>9</xdr:col>
                    <xdr:colOff>466725</xdr:colOff>
                    <xdr:row>98</xdr:row>
                    <xdr:rowOff>361950</xdr:rowOff>
                  </to>
                </anchor>
              </controlPr>
            </control>
          </mc:Choice>
        </mc:AlternateContent>
        <mc:AlternateContent xmlns:mc="http://schemas.openxmlformats.org/markup-compatibility/2006">
          <mc:Choice Requires="x14">
            <control shapeId="28712" r:id="rId37" name="Option Button 40">
              <controlPr defaultSize="0" autoPict="0">
                <anchor moveWithCells="1">
                  <from>
                    <xdr:col>3</xdr:col>
                    <xdr:colOff>19050</xdr:colOff>
                    <xdr:row>91</xdr:row>
                    <xdr:rowOff>38100</xdr:rowOff>
                  </from>
                  <to>
                    <xdr:col>4</xdr:col>
                    <xdr:colOff>428625</xdr:colOff>
                    <xdr:row>91</xdr:row>
                    <xdr:rowOff>180975</xdr:rowOff>
                  </to>
                </anchor>
              </controlPr>
            </control>
          </mc:Choice>
        </mc:AlternateContent>
        <mc:AlternateContent xmlns:mc="http://schemas.openxmlformats.org/markup-compatibility/2006">
          <mc:Choice Requires="x14">
            <control shapeId="28713" r:id="rId38" name="Option Button 41">
              <controlPr defaultSize="0" autoPict="0">
                <anchor moveWithCells="1">
                  <from>
                    <xdr:col>4</xdr:col>
                    <xdr:colOff>600075</xdr:colOff>
                    <xdr:row>91</xdr:row>
                    <xdr:rowOff>28575</xdr:rowOff>
                  </from>
                  <to>
                    <xdr:col>6</xdr:col>
                    <xdr:colOff>180975</xdr:colOff>
                    <xdr:row>91</xdr:row>
                    <xdr:rowOff>161925</xdr:rowOff>
                  </to>
                </anchor>
              </controlPr>
            </control>
          </mc:Choice>
        </mc:AlternateContent>
        <mc:AlternateContent xmlns:mc="http://schemas.openxmlformats.org/markup-compatibility/2006">
          <mc:Choice Requires="x14">
            <control shapeId="28714" r:id="rId39" name="Option Button 42">
              <controlPr defaultSize="0" autoPict="0">
                <anchor moveWithCells="1">
                  <from>
                    <xdr:col>3</xdr:col>
                    <xdr:colOff>19050</xdr:colOff>
                    <xdr:row>92</xdr:row>
                    <xdr:rowOff>28575</xdr:rowOff>
                  </from>
                  <to>
                    <xdr:col>4</xdr:col>
                    <xdr:colOff>314325</xdr:colOff>
                    <xdr:row>92</xdr:row>
                    <xdr:rowOff>161925</xdr:rowOff>
                  </to>
                </anchor>
              </controlPr>
            </control>
          </mc:Choice>
        </mc:AlternateContent>
        <mc:AlternateContent xmlns:mc="http://schemas.openxmlformats.org/markup-compatibility/2006">
          <mc:Choice Requires="x14">
            <control shapeId="28715" r:id="rId40" name="Option Button 43">
              <controlPr defaultSize="0" autoPict="0">
                <anchor moveWithCells="1">
                  <from>
                    <xdr:col>6</xdr:col>
                    <xdr:colOff>19050</xdr:colOff>
                    <xdr:row>99</xdr:row>
                    <xdr:rowOff>28575</xdr:rowOff>
                  </from>
                  <to>
                    <xdr:col>7</xdr:col>
                    <xdr:colOff>85725</xdr:colOff>
                    <xdr:row>99</xdr:row>
                    <xdr:rowOff>171450</xdr:rowOff>
                  </to>
                </anchor>
              </controlPr>
            </control>
          </mc:Choice>
        </mc:AlternateContent>
        <mc:AlternateContent xmlns:mc="http://schemas.openxmlformats.org/markup-compatibility/2006">
          <mc:Choice Requires="x14">
            <control shapeId="28716" r:id="rId41" name="Option Button 44">
              <controlPr defaultSize="0" autoPict="0">
                <anchor moveWithCells="1">
                  <from>
                    <xdr:col>7</xdr:col>
                    <xdr:colOff>295275</xdr:colOff>
                    <xdr:row>99</xdr:row>
                    <xdr:rowOff>28575</xdr:rowOff>
                  </from>
                  <to>
                    <xdr:col>8</xdr:col>
                    <xdr:colOff>238125</xdr:colOff>
                    <xdr:row>99</xdr:row>
                    <xdr:rowOff>161925</xdr:rowOff>
                  </to>
                </anchor>
              </controlPr>
            </control>
          </mc:Choice>
        </mc:AlternateContent>
        <mc:AlternateContent xmlns:mc="http://schemas.openxmlformats.org/markup-compatibility/2006">
          <mc:Choice Requires="x14">
            <control shapeId="28717" r:id="rId42" name="Option Button 45">
              <controlPr defaultSize="0" autoPict="0">
                <anchor moveWithCells="1">
                  <from>
                    <xdr:col>8</xdr:col>
                    <xdr:colOff>428625</xdr:colOff>
                    <xdr:row>99</xdr:row>
                    <xdr:rowOff>28575</xdr:rowOff>
                  </from>
                  <to>
                    <xdr:col>9</xdr:col>
                    <xdr:colOff>371475</xdr:colOff>
                    <xdr:row>99</xdr:row>
                    <xdr:rowOff>171450</xdr:rowOff>
                  </to>
                </anchor>
              </controlPr>
            </control>
          </mc:Choice>
        </mc:AlternateContent>
        <mc:AlternateContent xmlns:mc="http://schemas.openxmlformats.org/markup-compatibility/2006">
          <mc:Choice Requires="x14">
            <control shapeId="28718" r:id="rId43" name="Option Button 46">
              <controlPr defaultSize="0" autoPict="0">
                <anchor moveWithCells="1">
                  <from>
                    <xdr:col>10</xdr:col>
                    <xdr:colOff>19050</xdr:colOff>
                    <xdr:row>99</xdr:row>
                    <xdr:rowOff>28575</xdr:rowOff>
                  </from>
                  <to>
                    <xdr:col>10</xdr:col>
                    <xdr:colOff>704850</xdr:colOff>
                    <xdr:row>99</xdr:row>
                    <xdr:rowOff>171450</xdr:rowOff>
                  </to>
                </anchor>
              </controlPr>
            </control>
          </mc:Choice>
        </mc:AlternateContent>
        <mc:AlternateContent xmlns:mc="http://schemas.openxmlformats.org/markup-compatibility/2006">
          <mc:Choice Requires="x14">
            <control shapeId="28719" r:id="rId44" name="Option Button 47">
              <controlPr defaultSize="0" autoPict="0" altText="Не применяются">
                <anchor moveWithCells="1">
                  <from>
                    <xdr:col>9</xdr:col>
                    <xdr:colOff>9525</xdr:colOff>
                    <xdr:row>103</xdr:row>
                    <xdr:rowOff>19050</xdr:rowOff>
                  </from>
                  <to>
                    <xdr:col>10</xdr:col>
                    <xdr:colOff>400050</xdr:colOff>
                    <xdr:row>103</xdr:row>
                    <xdr:rowOff>171450</xdr:rowOff>
                  </to>
                </anchor>
              </controlPr>
            </control>
          </mc:Choice>
        </mc:AlternateContent>
        <mc:AlternateContent xmlns:mc="http://schemas.openxmlformats.org/markup-compatibility/2006">
          <mc:Choice Requires="x14">
            <control shapeId="28720" r:id="rId45" name="Option Button 48">
              <controlPr defaultSize="0" autoPict="0" altText="Не применяются">
                <anchor moveWithCells="1">
                  <from>
                    <xdr:col>9</xdr:col>
                    <xdr:colOff>9525</xdr:colOff>
                    <xdr:row>103</xdr:row>
                    <xdr:rowOff>209550</xdr:rowOff>
                  </from>
                  <to>
                    <xdr:col>10</xdr:col>
                    <xdr:colOff>438150</xdr:colOff>
                    <xdr:row>103</xdr:row>
                    <xdr:rowOff>342900</xdr:rowOff>
                  </to>
                </anchor>
              </controlPr>
            </control>
          </mc:Choice>
        </mc:AlternateContent>
        <mc:AlternateContent xmlns:mc="http://schemas.openxmlformats.org/markup-compatibility/2006">
          <mc:Choice Requires="x14">
            <control shapeId="28721" r:id="rId46" name="Option Button 49">
              <controlPr defaultSize="0" autoPict="0">
                <anchor moveWithCells="1">
                  <from>
                    <xdr:col>7</xdr:col>
                    <xdr:colOff>28575</xdr:colOff>
                    <xdr:row>104</xdr:row>
                    <xdr:rowOff>57150</xdr:rowOff>
                  </from>
                  <to>
                    <xdr:col>9</xdr:col>
                    <xdr:colOff>257175</xdr:colOff>
                    <xdr:row>104</xdr:row>
                    <xdr:rowOff>180975</xdr:rowOff>
                  </to>
                </anchor>
              </controlPr>
            </control>
          </mc:Choice>
        </mc:AlternateContent>
        <mc:AlternateContent xmlns:mc="http://schemas.openxmlformats.org/markup-compatibility/2006">
          <mc:Choice Requires="x14">
            <control shapeId="28722" r:id="rId47" name="Option Button 50">
              <controlPr defaultSize="0" autoPict="0">
                <anchor moveWithCells="1">
                  <from>
                    <xdr:col>7</xdr:col>
                    <xdr:colOff>28575</xdr:colOff>
                    <xdr:row>104</xdr:row>
                    <xdr:rowOff>219075</xdr:rowOff>
                  </from>
                  <to>
                    <xdr:col>9</xdr:col>
                    <xdr:colOff>333375</xdr:colOff>
                    <xdr:row>104</xdr:row>
                    <xdr:rowOff>361950</xdr:rowOff>
                  </to>
                </anchor>
              </controlPr>
            </control>
          </mc:Choice>
        </mc:AlternateContent>
        <mc:AlternateContent xmlns:mc="http://schemas.openxmlformats.org/markup-compatibility/2006">
          <mc:Choice Requires="x14">
            <control shapeId="28729" r:id="rId48" name="Option Button 57">
              <controlPr defaultSize="0" autoPict="0">
                <anchor moveWithCells="1">
                  <from>
                    <xdr:col>9</xdr:col>
                    <xdr:colOff>28575</xdr:colOff>
                    <xdr:row>107</xdr:row>
                    <xdr:rowOff>19050</xdr:rowOff>
                  </from>
                  <to>
                    <xdr:col>9</xdr:col>
                    <xdr:colOff>476250</xdr:colOff>
                    <xdr:row>107</xdr:row>
                    <xdr:rowOff>152400</xdr:rowOff>
                  </to>
                </anchor>
              </controlPr>
            </control>
          </mc:Choice>
        </mc:AlternateContent>
        <mc:AlternateContent xmlns:mc="http://schemas.openxmlformats.org/markup-compatibility/2006">
          <mc:Choice Requires="x14">
            <control shapeId="28730" r:id="rId49" name="Option Button 58">
              <controlPr defaultSize="0" autoPict="0">
                <anchor moveWithCells="1">
                  <from>
                    <xdr:col>9</xdr:col>
                    <xdr:colOff>523875</xdr:colOff>
                    <xdr:row>107</xdr:row>
                    <xdr:rowOff>28575</xdr:rowOff>
                  </from>
                  <to>
                    <xdr:col>10</xdr:col>
                    <xdr:colOff>266700</xdr:colOff>
                    <xdr:row>107</xdr:row>
                    <xdr:rowOff>152400</xdr:rowOff>
                  </to>
                </anchor>
              </controlPr>
            </control>
          </mc:Choice>
        </mc:AlternateContent>
        <mc:AlternateContent xmlns:mc="http://schemas.openxmlformats.org/markup-compatibility/2006">
          <mc:Choice Requires="x14">
            <control shapeId="28731" r:id="rId50" name="Option Button 59">
              <controlPr defaultSize="0" autoPict="0">
                <anchor moveWithCells="1">
                  <from>
                    <xdr:col>9</xdr:col>
                    <xdr:colOff>28575</xdr:colOff>
                    <xdr:row>108</xdr:row>
                    <xdr:rowOff>28575</xdr:rowOff>
                  </from>
                  <to>
                    <xdr:col>9</xdr:col>
                    <xdr:colOff>457200</xdr:colOff>
                    <xdr:row>108</xdr:row>
                    <xdr:rowOff>161925</xdr:rowOff>
                  </to>
                </anchor>
              </controlPr>
            </control>
          </mc:Choice>
        </mc:AlternateContent>
        <mc:AlternateContent xmlns:mc="http://schemas.openxmlformats.org/markup-compatibility/2006">
          <mc:Choice Requires="x14">
            <control shapeId="28732" r:id="rId51" name="Option Button 60">
              <controlPr defaultSize="0" autoPict="0">
                <anchor moveWithCells="1">
                  <from>
                    <xdr:col>9</xdr:col>
                    <xdr:colOff>523875</xdr:colOff>
                    <xdr:row>108</xdr:row>
                    <xdr:rowOff>28575</xdr:rowOff>
                  </from>
                  <to>
                    <xdr:col>10</xdr:col>
                    <xdr:colOff>295275</xdr:colOff>
                    <xdr:row>108</xdr:row>
                    <xdr:rowOff>161925</xdr:rowOff>
                  </to>
                </anchor>
              </controlPr>
            </control>
          </mc:Choice>
        </mc:AlternateContent>
        <mc:AlternateContent xmlns:mc="http://schemas.openxmlformats.org/markup-compatibility/2006">
          <mc:Choice Requires="x14">
            <control shapeId="28735" r:id="rId52" name="Option Button 63">
              <controlPr defaultSize="0" autoPict="0">
                <anchor moveWithCells="1">
                  <from>
                    <xdr:col>9</xdr:col>
                    <xdr:colOff>28575</xdr:colOff>
                    <xdr:row>111</xdr:row>
                    <xdr:rowOff>28575</xdr:rowOff>
                  </from>
                  <to>
                    <xdr:col>9</xdr:col>
                    <xdr:colOff>495300</xdr:colOff>
                    <xdr:row>111</xdr:row>
                    <xdr:rowOff>171450</xdr:rowOff>
                  </to>
                </anchor>
              </controlPr>
            </control>
          </mc:Choice>
        </mc:AlternateContent>
        <mc:AlternateContent xmlns:mc="http://schemas.openxmlformats.org/markup-compatibility/2006">
          <mc:Choice Requires="x14">
            <control shapeId="28736" r:id="rId53" name="Option Button 64">
              <controlPr defaultSize="0" autoPict="0">
                <anchor moveWithCells="1">
                  <from>
                    <xdr:col>9</xdr:col>
                    <xdr:colOff>495300</xdr:colOff>
                    <xdr:row>111</xdr:row>
                    <xdr:rowOff>28575</xdr:rowOff>
                  </from>
                  <to>
                    <xdr:col>10</xdr:col>
                    <xdr:colOff>247650</xdr:colOff>
                    <xdr:row>111</xdr:row>
                    <xdr:rowOff>171450</xdr:rowOff>
                  </to>
                </anchor>
              </controlPr>
            </control>
          </mc:Choice>
        </mc:AlternateContent>
        <mc:AlternateContent xmlns:mc="http://schemas.openxmlformats.org/markup-compatibility/2006">
          <mc:Choice Requires="x14">
            <control shapeId="28741" r:id="rId54" name="Option Button 69">
              <controlPr defaultSize="0" autoPict="0">
                <anchor moveWithCells="1">
                  <from>
                    <xdr:col>9</xdr:col>
                    <xdr:colOff>9525</xdr:colOff>
                    <xdr:row>100</xdr:row>
                    <xdr:rowOff>28575</xdr:rowOff>
                  </from>
                  <to>
                    <xdr:col>9</xdr:col>
                    <xdr:colOff>361950</xdr:colOff>
                    <xdr:row>100</xdr:row>
                    <xdr:rowOff>180975</xdr:rowOff>
                  </to>
                </anchor>
              </controlPr>
            </control>
          </mc:Choice>
        </mc:AlternateContent>
        <mc:AlternateContent xmlns:mc="http://schemas.openxmlformats.org/markup-compatibility/2006">
          <mc:Choice Requires="x14">
            <control shapeId="28742" r:id="rId55" name="Option Button 70">
              <controlPr defaultSize="0" autoPict="0">
                <anchor moveWithCells="1">
                  <from>
                    <xdr:col>9</xdr:col>
                    <xdr:colOff>552450</xdr:colOff>
                    <xdr:row>100</xdr:row>
                    <xdr:rowOff>9525</xdr:rowOff>
                  </from>
                  <to>
                    <xdr:col>10</xdr:col>
                    <xdr:colOff>304800</xdr:colOff>
                    <xdr:row>100</xdr:row>
                    <xdr:rowOff>152400</xdr:rowOff>
                  </to>
                </anchor>
              </controlPr>
            </control>
          </mc:Choice>
        </mc:AlternateContent>
        <mc:AlternateContent xmlns:mc="http://schemas.openxmlformats.org/markup-compatibility/2006">
          <mc:Choice Requires="x14">
            <control shapeId="28743" r:id="rId56" name="Option Button 71">
              <controlPr defaultSize="0" autoPict="0">
                <anchor moveWithCells="1">
                  <from>
                    <xdr:col>9</xdr:col>
                    <xdr:colOff>9525</xdr:colOff>
                    <xdr:row>101</xdr:row>
                    <xdr:rowOff>38100</xdr:rowOff>
                  </from>
                  <to>
                    <xdr:col>9</xdr:col>
                    <xdr:colOff>361950</xdr:colOff>
                    <xdr:row>101</xdr:row>
                    <xdr:rowOff>152400</xdr:rowOff>
                  </to>
                </anchor>
              </controlPr>
            </control>
          </mc:Choice>
        </mc:AlternateContent>
        <mc:AlternateContent xmlns:mc="http://schemas.openxmlformats.org/markup-compatibility/2006">
          <mc:Choice Requires="x14">
            <control shapeId="28744" r:id="rId57" name="Option Button 72">
              <controlPr defaultSize="0" autoPict="0">
                <anchor moveWithCells="1">
                  <from>
                    <xdr:col>9</xdr:col>
                    <xdr:colOff>552450</xdr:colOff>
                    <xdr:row>101</xdr:row>
                    <xdr:rowOff>9525</xdr:rowOff>
                  </from>
                  <to>
                    <xdr:col>10</xdr:col>
                    <xdr:colOff>276225</xdr:colOff>
                    <xdr:row>101</xdr:row>
                    <xdr:rowOff>152400</xdr:rowOff>
                  </to>
                </anchor>
              </controlPr>
            </control>
          </mc:Choice>
        </mc:AlternateContent>
        <mc:AlternateContent xmlns:mc="http://schemas.openxmlformats.org/markup-compatibility/2006">
          <mc:Choice Requires="x14">
            <control shapeId="28745" r:id="rId58" name="Option Button 73">
              <controlPr defaultSize="0" autoPict="0">
                <anchor moveWithCells="1">
                  <from>
                    <xdr:col>9</xdr:col>
                    <xdr:colOff>9525</xdr:colOff>
                    <xdr:row>102</xdr:row>
                    <xdr:rowOff>19050</xdr:rowOff>
                  </from>
                  <to>
                    <xdr:col>9</xdr:col>
                    <xdr:colOff>381000</xdr:colOff>
                    <xdr:row>102</xdr:row>
                    <xdr:rowOff>152400</xdr:rowOff>
                  </to>
                </anchor>
              </controlPr>
            </control>
          </mc:Choice>
        </mc:AlternateContent>
        <mc:AlternateContent xmlns:mc="http://schemas.openxmlformats.org/markup-compatibility/2006">
          <mc:Choice Requires="x14">
            <control shapeId="28746" r:id="rId59" name="Option Button 74">
              <controlPr defaultSize="0" autoPict="0">
                <anchor moveWithCells="1">
                  <from>
                    <xdr:col>9</xdr:col>
                    <xdr:colOff>561975</xdr:colOff>
                    <xdr:row>102</xdr:row>
                    <xdr:rowOff>19050</xdr:rowOff>
                  </from>
                  <to>
                    <xdr:col>10</xdr:col>
                    <xdr:colOff>276225</xdr:colOff>
                    <xdr:row>102</xdr:row>
                    <xdr:rowOff>152400</xdr:rowOff>
                  </to>
                </anchor>
              </controlPr>
            </control>
          </mc:Choice>
        </mc:AlternateContent>
        <mc:AlternateContent xmlns:mc="http://schemas.openxmlformats.org/markup-compatibility/2006">
          <mc:Choice Requires="x14">
            <control shapeId="28752" r:id="rId60" name="Option Button 80">
              <controlPr defaultSize="0" autoPict="0">
                <anchor moveWithCells="1">
                  <from>
                    <xdr:col>7</xdr:col>
                    <xdr:colOff>19050</xdr:colOff>
                    <xdr:row>98</xdr:row>
                    <xdr:rowOff>390525</xdr:rowOff>
                  </from>
                  <to>
                    <xdr:col>10</xdr:col>
                    <xdr:colOff>180975</xdr:colOff>
                    <xdr:row>98</xdr:row>
                    <xdr:rowOff>533400</xdr:rowOff>
                  </to>
                </anchor>
              </controlPr>
            </control>
          </mc:Choice>
        </mc:AlternateContent>
        <mc:AlternateContent xmlns:mc="http://schemas.openxmlformats.org/markup-compatibility/2006">
          <mc:Choice Requires="x14">
            <control shapeId="28753" r:id="rId61" name="Option Button 81">
              <controlPr defaultSize="0" autoPict="0">
                <anchor moveWithCells="1">
                  <from>
                    <xdr:col>7</xdr:col>
                    <xdr:colOff>28575</xdr:colOff>
                    <xdr:row>104</xdr:row>
                    <xdr:rowOff>371475</xdr:rowOff>
                  </from>
                  <to>
                    <xdr:col>9</xdr:col>
                    <xdr:colOff>542925</xdr:colOff>
                    <xdr:row>104</xdr:row>
                    <xdr:rowOff>542925</xdr:rowOff>
                  </to>
                </anchor>
              </controlPr>
            </control>
          </mc:Choice>
        </mc:AlternateContent>
        <mc:AlternateContent xmlns:mc="http://schemas.openxmlformats.org/markup-compatibility/2006">
          <mc:Choice Requires="x14">
            <control shapeId="28754" r:id="rId62" name="Option Button 82">
              <controlPr defaultSize="0" autoPict="0">
                <anchor moveWithCells="1">
                  <from>
                    <xdr:col>6</xdr:col>
                    <xdr:colOff>9525</xdr:colOff>
                    <xdr:row>106</xdr:row>
                    <xdr:rowOff>38100</xdr:rowOff>
                  </from>
                  <to>
                    <xdr:col>10</xdr:col>
                    <xdr:colOff>390525</xdr:colOff>
                    <xdr:row>106</xdr:row>
                    <xdr:rowOff>180975</xdr:rowOff>
                  </to>
                </anchor>
              </controlPr>
            </control>
          </mc:Choice>
        </mc:AlternateContent>
        <mc:AlternateContent xmlns:mc="http://schemas.openxmlformats.org/markup-compatibility/2006">
          <mc:Choice Requires="x14">
            <control shapeId="28755" r:id="rId63" name="Option Button 83">
              <controlPr defaultSize="0" autoPict="0">
                <anchor moveWithCells="1">
                  <from>
                    <xdr:col>6</xdr:col>
                    <xdr:colOff>9525</xdr:colOff>
                    <xdr:row>106</xdr:row>
                    <xdr:rowOff>190500</xdr:rowOff>
                  </from>
                  <to>
                    <xdr:col>7</xdr:col>
                    <xdr:colOff>295275</xdr:colOff>
                    <xdr:row>106</xdr:row>
                    <xdr:rowOff>342900</xdr:rowOff>
                  </to>
                </anchor>
              </controlPr>
            </control>
          </mc:Choice>
        </mc:AlternateContent>
        <mc:AlternateContent xmlns:mc="http://schemas.openxmlformats.org/markup-compatibility/2006">
          <mc:Choice Requires="x14">
            <control shapeId="28756" r:id="rId64" name="Option Button 84">
              <controlPr defaultSize="0" autoPict="0">
                <anchor moveWithCells="1">
                  <from>
                    <xdr:col>8</xdr:col>
                    <xdr:colOff>9525</xdr:colOff>
                    <xdr:row>106</xdr:row>
                    <xdr:rowOff>200025</xdr:rowOff>
                  </from>
                  <to>
                    <xdr:col>9</xdr:col>
                    <xdr:colOff>333375</xdr:colOff>
                    <xdr:row>106</xdr:row>
                    <xdr:rowOff>333375</xdr:rowOff>
                  </to>
                </anchor>
              </controlPr>
            </control>
          </mc:Choice>
        </mc:AlternateContent>
        <mc:AlternateContent xmlns:mc="http://schemas.openxmlformats.org/markup-compatibility/2006">
          <mc:Choice Requires="x14">
            <control shapeId="28758" r:id="rId65" name="Option Button 86">
              <controlPr defaultSize="0" autoPict="0">
                <anchor moveWithCells="1">
                  <from>
                    <xdr:col>1</xdr:col>
                    <xdr:colOff>57150</xdr:colOff>
                    <xdr:row>39</xdr:row>
                    <xdr:rowOff>771525</xdr:rowOff>
                  </from>
                  <to>
                    <xdr:col>2</xdr:col>
                    <xdr:colOff>142875</xdr:colOff>
                    <xdr:row>39</xdr:row>
                    <xdr:rowOff>942975</xdr:rowOff>
                  </to>
                </anchor>
              </controlPr>
            </control>
          </mc:Choice>
        </mc:AlternateContent>
        <mc:AlternateContent xmlns:mc="http://schemas.openxmlformats.org/markup-compatibility/2006">
          <mc:Choice Requires="x14">
            <control shapeId="28759" r:id="rId66" name="Option Button 87">
              <controlPr defaultSize="0" autoPict="0">
                <anchor moveWithCells="1">
                  <from>
                    <xdr:col>1</xdr:col>
                    <xdr:colOff>57150</xdr:colOff>
                    <xdr:row>40</xdr:row>
                    <xdr:rowOff>19050</xdr:rowOff>
                  </from>
                  <to>
                    <xdr:col>2</xdr:col>
                    <xdr:colOff>352425</xdr:colOff>
                    <xdr:row>40</xdr:row>
                    <xdr:rowOff>171450</xdr:rowOff>
                  </to>
                </anchor>
              </controlPr>
            </control>
          </mc:Choice>
        </mc:AlternateContent>
        <mc:AlternateContent xmlns:mc="http://schemas.openxmlformats.org/markup-compatibility/2006">
          <mc:Choice Requires="x14">
            <control shapeId="28761" r:id="rId67" name="Option Button 89">
              <controlPr defaultSize="0" autoPict="0">
                <anchor moveWithCells="1">
                  <from>
                    <xdr:col>7</xdr:col>
                    <xdr:colOff>19050</xdr:colOff>
                    <xdr:row>79</xdr:row>
                    <xdr:rowOff>28575</xdr:rowOff>
                  </from>
                  <to>
                    <xdr:col>8</xdr:col>
                    <xdr:colOff>457200</xdr:colOff>
                    <xdr:row>79</xdr:row>
                    <xdr:rowOff>171450</xdr:rowOff>
                  </to>
                </anchor>
              </controlPr>
            </control>
          </mc:Choice>
        </mc:AlternateContent>
        <mc:AlternateContent xmlns:mc="http://schemas.openxmlformats.org/markup-compatibility/2006">
          <mc:Choice Requires="x14">
            <control shapeId="28762" r:id="rId68" name="Option Button 90">
              <controlPr defaultSize="0" autoPict="0">
                <anchor moveWithCells="1">
                  <from>
                    <xdr:col>9</xdr:col>
                    <xdr:colOff>57150</xdr:colOff>
                    <xdr:row>79</xdr:row>
                    <xdr:rowOff>28575</xdr:rowOff>
                  </from>
                  <to>
                    <xdr:col>10</xdr:col>
                    <xdr:colOff>514350</xdr:colOff>
                    <xdr:row>79</xdr:row>
                    <xdr:rowOff>161925</xdr:rowOff>
                  </to>
                </anchor>
              </controlPr>
            </control>
          </mc:Choice>
        </mc:AlternateContent>
        <mc:AlternateContent xmlns:mc="http://schemas.openxmlformats.org/markup-compatibility/2006">
          <mc:Choice Requires="x14">
            <control shapeId="28764" r:id="rId69" name="Option Button 92">
              <controlPr defaultSize="0" autoPict="0">
                <anchor moveWithCells="1">
                  <from>
                    <xdr:col>7</xdr:col>
                    <xdr:colOff>47625</xdr:colOff>
                    <xdr:row>41</xdr:row>
                    <xdr:rowOff>28575</xdr:rowOff>
                  </from>
                  <to>
                    <xdr:col>8</xdr:col>
                    <xdr:colOff>371475</xdr:colOff>
                    <xdr:row>41</xdr:row>
                    <xdr:rowOff>152400</xdr:rowOff>
                  </to>
                </anchor>
              </controlPr>
            </control>
          </mc:Choice>
        </mc:AlternateContent>
        <mc:AlternateContent xmlns:mc="http://schemas.openxmlformats.org/markup-compatibility/2006">
          <mc:Choice Requires="x14">
            <control shapeId="28765" r:id="rId70" name="Option Button 93">
              <controlPr defaultSize="0" autoPict="0">
                <anchor moveWithCells="1">
                  <from>
                    <xdr:col>9</xdr:col>
                    <xdr:colOff>9525</xdr:colOff>
                    <xdr:row>41</xdr:row>
                    <xdr:rowOff>28575</xdr:rowOff>
                  </from>
                  <to>
                    <xdr:col>10</xdr:col>
                    <xdr:colOff>590550</xdr:colOff>
                    <xdr:row>41</xdr:row>
                    <xdr:rowOff>161925</xdr:rowOff>
                  </to>
                </anchor>
              </controlPr>
            </control>
          </mc:Choice>
        </mc:AlternateContent>
        <mc:AlternateContent xmlns:mc="http://schemas.openxmlformats.org/markup-compatibility/2006">
          <mc:Choice Requires="x14">
            <control shapeId="28786" r:id="rId71" name="Option Button 114">
              <controlPr defaultSize="0" autoPict="0">
                <anchor moveWithCells="1">
                  <from>
                    <xdr:col>6</xdr:col>
                    <xdr:colOff>9525</xdr:colOff>
                    <xdr:row>109</xdr:row>
                    <xdr:rowOff>28575</xdr:rowOff>
                  </from>
                  <to>
                    <xdr:col>6</xdr:col>
                    <xdr:colOff>466725</xdr:colOff>
                    <xdr:row>109</xdr:row>
                    <xdr:rowOff>171450</xdr:rowOff>
                  </to>
                </anchor>
              </controlPr>
            </control>
          </mc:Choice>
        </mc:AlternateContent>
        <mc:AlternateContent xmlns:mc="http://schemas.openxmlformats.org/markup-compatibility/2006">
          <mc:Choice Requires="x14">
            <control shapeId="28787" r:id="rId72" name="Option Button 115">
              <controlPr defaultSize="0" autoPict="0">
                <anchor moveWithCells="1">
                  <from>
                    <xdr:col>7</xdr:col>
                    <xdr:colOff>123825</xdr:colOff>
                    <xdr:row>109</xdr:row>
                    <xdr:rowOff>19050</xdr:rowOff>
                  </from>
                  <to>
                    <xdr:col>7</xdr:col>
                    <xdr:colOff>619125</xdr:colOff>
                    <xdr:row>109</xdr:row>
                    <xdr:rowOff>180975</xdr:rowOff>
                  </to>
                </anchor>
              </controlPr>
            </control>
          </mc:Choice>
        </mc:AlternateContent>
        <mc:AlternateContent xmlns:mc="http://schemas.openxmlformats.org/markup-compatibility/2006">
          <mc:Choice Requires="x14">
            <control shapeId="28788" r:id="rId73" name="Option Button 116">
              <controlPr defaultSize="0" autoPict="0">
                <anchor moveWithCells="1">
                  <from>
                    <xdr:col>8</xdr:col>
                    <xdr:colOff>190500</xdr:colOff>
                    <xdr:row>109</xdr:row>
                    <xdr:rowOff>28575</xdr:rowOff>
                  </from>
                  <to>
                    <xdr:col>8</xdr:col>
                    <xdr:colOff>685800</xdr:colOff>
                    <xdr:row>109</xdr:row>
                    <xdr:rowOff>171450</xdr:rowOff>
                  </to>
                </anchor>
              </controlPr>
            </control>
          </mc:Choice>
        </mc:AlternateContent>
        <mc:AlternateContent xmlns:mc="http://schemas.openxmlformats.org/markup-compatibility/2006">
          <mc:Choice Requires="x14">
            <control shapeId="28796" r:id="rId74" name="Option Button 124">
              <controlPr defaultSize="0" autoPict="0">
                <anchor moveWithCells="1">
                  <from>
                    <xdr:col>9</xdr:col>
                    <xdr:colOff>28575</xdr:colOff>
                    <xdr:row>112</xdr:row>
                    <xdr:rowOff>28575</xdr:rowOff>
                  </from>
                  <to>
                    <xdr:col>9</xdr:col>
                    <xdr:colOff>542925</xdr:colOff>
                    <xdr:row>112</xdr:row>
                    <xdr:rowOff>171450</xdr:rowOff>
                  </to>
                </anchor>
              </controlPr>
            </control>
          </mc:Choice>
        </mc:AlternateContent>
        <mc:AlternateContent xmlns:mc="http://schemas.openxmlformats.org/markup-compatibility/2006">
          <mc:Choice Requires="x14">
            <control shapeId="28797" r:id="rId75" name="Option Button 125">
              <controlPr defaultSize="0" autoPict="0">
                <anchor moveWithCells="1">
                  <from>
                    <xdr:col>9</xdr:col>
                    <xdr:colOff>495300</xdr:colOff>
                    <xdr:row>112</xdr:row>
                    <xdr:rowOff>28575</xdr:rowOff>
                  </from>
                  <to>
                    <xdr:col>10</xdr:col>
                    <xdr:colOff>257175</xdr:colOff>
                    <xdr:row>112</xdr:row>
                    <xdr:rowOff>161925</xdr:rowOff>
                  </to>
                </anchor>
              </controlPr>
            </control>
          </mc:Choice>
        </mc:AlternateContent>
        <mc:AlternateContent xmlns:mc="http://schemas.openxmlformats.org/markup-compatibility/2006">
          <mc:Choice Requires="x14">
            <control shapeId="28804" r:id="rId76" name="Option Button 132">
              <controlPr defaultSize="0" autoPict="0">
                <anchor moveWithCells="1">
                  <from>
                    <xdr:col>7</xdr:col>
                    <xdr:colOff>9525</xdr:colOff>
                    <xdr:row>96</xdr:row>
                    <xdr:rowOff>38100</xdr:rowOff>
                  </from>
                  <to>
                    <xdr:col>8</xdr:col>
                    <xdr:colOff>209550</xdr:colOff>
                    <xdr:row>96</xdr:row>
                    <xdr:rowOff>171450</xdr:rowOff>
                  </to>
                </anchor>
              </controlPr>
            </control>
          </mc:Choice>
        </mc:AlternateContent>
        <mc:AlternateContent xmlns:mc="http://schemas.openxmlformats.org/markup-compatibility/2006">
          <mc:Choice Requires="x14">
            <control shapeId="28805" r:id="rId77" name="Option Button 133">
              <controlPr defaultSize="0" autoPict="0">
                <anchor moveWithCells="1">
                  <from>
                    <xdr:col>8</xdr:col>
                    <xdr:colOff>514350</xdr:colOff>
                    <xdr:row>96</xdr:row>
                    <xdr:rowOff>28575</xdr:rowOff>
                  </from>
                  <to>
                    <xdr:col>10</xdr:col>
                    <xdr:colOff>95250</xdr:colOff>
                    <xdr:row>96</xdr:row>
                    <xdr:rowOff>180975</xdr:rowOff>
                  </to>
                </anchor>
              </controlPr>
            </control>
          </mc:Choice>
        </mc:AlternateContent>
        <mc:AlternateContent xmlns:mc="http://schemas.openxmlformats.org/markup-compatibility/2006">
          <mc:Choice Requires="x14">
            <control shapeId="28811" r:id="rId78" name="Option Button 139">
              <controlPr defaultSize="0" autoPict="0">
                <anchor moveWithCells="1">
                  <from>
                    <xdr:col>9</xdr:col>
                    <xdr:colOff>371475</xdr:colOff>
                    <xdr:row>109</xdr:row>
                    <xdr:rowOff>28575</xdr:rowOff>
                  </from>
                  <to>
                    <xdr:col>10</xdr:col>
                    <xdr:colOff>533400</xdr:colOff>
                    <xdr:row>109</xdr:row>
                    <xdr:rowOff>171450</xdr:rowOff>
                  </to>
                </anchor>
              </controlPr>
            </control>
          </mc:Choice>
        </mc:AlternateContent>
        <mc:AlternateContent xmlns:mc="http://schemas.openxmlformats.org/markup-compatibility/2006">
          <mc:Choice Requires="x14">
            <control shapeId="28812" r:id="rId79" name="Check Box 140">
              <controlPr defaultSize="0" autoPict="0">
                <anchor moveWithCells="1">
                  <from>
                    <xdr:col>1</xdr:col>
                    <xdr:colOff>57150</xdr:colOff>
                    <xdr:row>42</xdr:row>
                    <xdr:rowOff>28575</xdr:rowOff>
                  </from>
                  <to>
                    <xdr:col>6</xdr:col>
                    <xdr:colOff>152400</xdr:colOff>
                    <xdr:row>42</xdr:row>
                    <xdr:rowOff>161925</xdr:rowOff>
                  </to>
                </anchor>
              </controlPr>
            </control>
          </mc:Choice>
        </mc:AlternateContent>
        <mc:AlternateContent xmlns:mc="http://schemas.openxmlformats.org/markup-compatibility/2006">
          <mc:Choice Requires="x14">
            <control shapeId="28814" r:id="rId80" name="Check Box 142">
              <controlPr defaultSize="0" autoPict="0" altText="Пожар, воздействие продуктов горения (в том числе дыма), удар молнии, а также взрыв газа, употребляемого в бытовых целях">
                <anchor moveWithCells="1">
                  <from>
                    <xdr:col>1</xdr:col>
                    <xdr:colOff>200025</xdr:colOff>
                    <xdr:row>72</xdr:row>
                    <xdr:rowOff>190500</xdr:rowOff>
                  </from>
                  <to>
                    <xdr:col>10</xdr:col>
                    <xdr:colOff>85725</xdr:colOff>
                    <xdr:row>72</xdr:row>
                    <xdr:rowOff>409575</xdr:rowOff>
                  </to>
                </anchor>
              </controlPr>
            </control>
          </mc:Choice>
        </mc:AlternateContent>
        <mc:AlternateContent xmlns:mc="http://schemas.openxmlformats.org/markup-compatibility/2006">
          <mc:Choice Requires="x14">
            <control shapeId="28815" r:id="rId81" name="Check Box 143">
              <controlPr defaultSize="0" autoPict="0">
                <anchor moveWithCells="1">
                  <from>
                    <xdr:col>1</xdr:col>
                    <xdr:colOff>200025</xdr:colOff>
                    <xdr:row>72</xdr:row>
                    <xdr:rowOff>361950</xdr:rowOff>
                  </from>
                  <to>
                    <xdr:col>10</xdr:col>
                    <xdr:colOff>95250</xdr:colOff>
                    <xdr:row>72</xdr:row>
                    <xdr:rowOff>581025</xdr:rowOff>
                  </to>
                </anchor>
              </controlPr>
            </control>
          </mc:Choice>
        </mc:AlternateContent>
        <mc:AlternateContent xmlns:mc="http://schemas.openxmlformats.org/markup-compatibility/2006">
          <mc:Choice Requires="x14">
            <control shapeId="28816" r:id="rId82" name="Check Box 144">
              <controlPr defaultSize="0" autoPict="0" altText="Повреждение застрахованного имущества водой из водопроводных, канализационных, отопительных систем,  систем пожаротушения и кондиционирования">
                <anchor moveWithCells="1">
                  <from>
                    <xdr:col>1</xdr:col>
                    <xdr:colOff>200025</xdr:colOff>
                    <xdr:row>72</xdr:row>
                    <xdr:rowOff>514350</xdr:rowOff>
                  </from>
                  <to>
                    <xdr:col>10</xdr:col>
                    <xdr:colOff>638175</xdr:colOff>
                    <xdr:row>72</xdr:row>
                    <xdr:rowOff>876300</xdr:rowOff>
                  </to>
                </anchor>
              </controlPr>
            </control>
          </mc:Choice>
        </mc:AlternateContent>
        <mc:AlternateContent xmlns:mc="http://schemas.openxmlformats.org/markup-compatibility/2006">
          <mc:Choice Requires="x14">
            <control shapeId="28817" r:id="rId83" name="Check Box 145">
              <controlPr defaultSize="0" autoPict="0" altText="Взрыв паровых котлов, газохранилищ, газопроводов, машин, аппаратов и других аналогичных устройств">
                <anchor moveWithCells="1">
                  <from>
                    <xdr:col>1</xdr:col>
                    <xdr:colOff>200025</xdr:colOff>
                    <xdr:row>72</xdr:row>
                    <xdr:rowOff>819150</xdr:rowOff>
                  </from>
                  <to>
                    <xdr:col>8</xdr:col>
                    <xdr:colOff>457200</xdr:colOff>
                    <xdr:row>72</xdr:row>
                    <xdr:rowOff>1038225</xdr:rowOff>
                  </to>
                </anchor>
              </controlPr>
            </control>
          </mc:Choice>
        </mc:AlternateContent>
        <mc:AlternateContent xmlns:mc="http://schemas.openxmlformats.org/markup-compatibility/2006">
          <mc:Choice Requires="x14">
            <control shapeId="28818" r:id="rId84" name="Check Box 146">
              <controlPr defaultSize="0" autoPict="0">
                <anchor moveWithCells="1">
                  <from>
                    <xdr:col>1</xdr:col>
                    <xdr:colOff>200025</xdr:colOff>
                    <xdr:row>72</xdr:row>
                    <xdr:rowOff>981075</xdr:rowOff>
                  </from>
                  <to>
                    <xdr:col>10</xdr:col>
                    <xdr:colOff>9525</xdr:colOff>
                    <xdr:row>72</xdr:row>
                    <xdr:rowOff>1219200</xdr:rowOff>
                  </to>
                </anchor>
              </controlPr>
            </control>
          </mc:Choice>
        </mc:AlternateContent>
        <mc:AlternateContent xmlns:mc="http://schemas.openxmlformats.org/markup-compatibility/2006">
          <mc:Choice Requires="x14">
            <control shapeId="28819" r:id="rId85" name="Check Box 147">
              <controlPr defaultSize="0" autoPict="0" altText="Кража с незаконным проникновением, грабеж, разбой">
                <anchor moveWithCells="1">
                  <from>
                    <xdr:col>1</xdr:col>
                    <xdr:colOff>200025</xdr:colOff>
                    <xdr:row>72</xdr:row>
                    <xdr:rowOff>1143000</xdr:rowOff>
                  </from>
                  <to>
                    <xdr:col>5</xdr:col>
                    <xdr:colOff>209550</xdr:colOff>
                    <xdr:row>72</xdr:row>
                    <xdr:rowOff>1362075</xdr:rowOff>
                  </to>
                </anchor>
              </controlPr>
            </control>
          </mc:Choice>
        </mc:AlternateContent>
        <mc:AlternateContent xmlns:mc="http://schemas.openxmlformats.org/markup-compatibility/2006">
          <mc:Choice Requires="x14">
            <control shapeId="28820" r:id="rId86" name="Check Box 148">
              <controlPr defaultSize="0" autoPict="0">
                <anchor moveWithCells="1">
                  <from>
                    <xdr:col>1</xdr:col>
                    <xdr:colOff>200025</xdr:colOff>
                    <xdr:row>72</xdr:row>
                    <xdr:rowOff>1304925</xdr:rowOff>
                  </from>
                  <to>
                    <xdr:col>4</xdr:col>
                    <xdr:colOff>180975</xdr:colOff>
                    <xdr:row>72</xdr:row>
                    <xdr:rowOff>1524000</xdr:rowOff>
                  </to>
                </anchor>
              </controlPr>
            </control>
          </mc:Choice>
        </mc:AlternateContent>
        <mc:AlternateContent xmlns:mc="http://schemas.openxmlformats.org/markup-compatibility/2006">
          <mc:Choice Requires="x14">
            <control shapeId="28821" r:id="rId87" name="Check Box 149">
              <controlPr defaultSize="0" autoPict="0" altText="Падение на застрахованное имущество пилотируемых летающих объектов или их обломков">
                <anchor moveWithCells="1">
                  <from>
                    <xdr:col>1</xdr:col>
                    <xdr:colOff>200025</xdr:colOff>
                    <xdr:row>72</xdr:row>
                    <xdr:rowOff>1466850</xdr:rowOff>
                  </from>
                  <to>
                    <xdr:col>7</xdr:col>
                    <xdr:colOff>542925</xdr:colOff>
                    <xdr:row>72</xdr:row>
                    <xdr:rowOff>1685925</xdr:rowOff>
                  </to>
                </anchor>
              </controlPr>
            </control>
          </mc:Choice>
        </mc:AlternateContent>
        <mc:AlternateContent xmlns:mc="http://schemas.openxmlformats.org/markup-compatibility/2006">
          <mc:Choice Requires="x14">
            <control shapeId="28822" r:id="rId88" name="Check Box 150">
              <controlPr defaultSize="0" autoPict="0" altText="Бой оконных стекол, зеркал и витрин">
                <anchor moveWithCells="1">
                  <from>
                    <xdr:col>1</xdr:col>
                    <xdr:colOff>200025</xdr:colOff>
                    <xdr:row>72</xdr:row>
                    <xdr:rowOff>1628775</xdr:rowOff>
                  </from>
                  <to>
                    <xdr:col>4</xdr:col>
                    <xdr:colOff>95250</xdr:colOff>
                    <xdr:row>73</xdr:row>
                    <xdr:rowOff>9525</xdr:rowOff>
                  </to>
                </anchor>
              </controlPr>
            </control>
          </mc:Choice>
        </mc:AlternateContent>
        <mc:AlternateContent xmlns:mc="http://schemas.openxmlformats.org/markup-compatibility/2006">
          <mc:Choice Requires="x14">
            <control shapeId="28824" r:id="rId89" name="Option Button 152">
              <controlPr defaultSize="0" autoPict="0">
                <anchor moveWithCells="1">
                  <from>
                    <xdr:col>1</xdr:col>
                    <xdr:colOff>19050</xdr:colOff>
                    <xdr:row>72</xdr:row>
                    <xdr:rowOff>9525</xdr:rowOff>
                  </from>
                  <to>
                    <xdr:col>6</xdr:col>
                    <xdr:colOff>533400</xdr:colOff>
                    <xdr:row>72</xdr:row>
                    <xdr:rowOff>219075</xdr:rowOff>
                  </to>
                </anchor>
              </controlPr>
            </control>
          </mc:Choice>
        </mc:AlternateContent>
        <mc:AlternateContent xmlns:mc="http://schemas.openxmlformats.org/markup-compatibility/2006">
          <mc:Choice Requires="x14">
            <control shapeId="28825" r:id="rId90" name="Option Button 153">
              <controlPr defaultSize="0" autoPict="0">
                <anchor moveWithCells="1">
                  <from>
                    <xdr:col>1</xdr:col>
                    <xdr:colOff>38100</xdr:colOff>
                    <xdr:row>73</xdr:row>
                    <xdr:rowOff>142875</xdr:rowOff>
                  </from>
                  <to>
                    <xdr:col>7</xdr:col>
                    <xdr:colOff>200025</xdr:colOff>
                    <xdr:row>73</xdr:row>
                    <xdr:rowOff>371475</xdr:rowOff>
                  </to>
                </anchor>
              </controlPr>
            </control>
          </mc:Choice>
        </mc:AlternateContent>
        <mc:AlternateContent xmlns:mc="http://schemas.openxmlformats.org/markup-compatibility/2006">
          <mc:Choice Requires="x14">
            <control shapeId="28827" r:id="rId91" name="Check Box 155">
              <controlPr defaultSize="0" autoPict="0">
                <anchor moveWithCells="1">
                  <from>
                    <xdr:col>10</xdr:col>
                    <xdr:colOff>266700</xdr:colOff>
                    <xdr:row>127</xdr:row>
                    <xdr:rowOff>28575</xdr:rowOff>
                  </from>
                  <to>
                    <xdr:col>10</xdr:col>
                    <xdr:colOff>485775</xdr:colOff>
                    <xdr:row>127</xdr:row>
                    <xdr:rowOff>161925</xdr:rowOff>
                  </to>
                </anchor>
              </controlPr>
            </control>
          </mc:Choice>
        </mc:AlternateContent>
        <mc:AlternateContent xmlns:mc="http://schemas.openxmlformats.org/markup-compatibility/2006">
          <mc:Choice Requires="x14">
            <control shapeId="28828" r:id="rId92" name="Check Box 156">
              <controlPr defaultSize="0" autoPict="0">
                <anchor moveWithCells="1">
                  <from>
                    <xdr:col>10</xdr:col>
                    <xdr:colOff>266700</xdr:colOff>
                    <xdr:row>128</xdr:row>
                    <xdr:rowOff>38100</xdr:rowOff>
                  </from>
                  <to>
                    <xdr:col>10</xdr:col>
                    <xdr:colOff>485775</xdr:colOff>
                    <xdr:row>128</xdr:row>
                    <xdr:rowOff>171450</xdr:rowOff>
                  </to>
                </anchor>
              </controlPr>
            </control>
          </mc:Choice>
        </mc:AlternateContent>
        <mc:AlternateContent xmlns:mc="http://schemas.openxmlformats.org/markup-compatibility/2006">
          <mc:Choice Requires="x14">
            <control shapeId="28830" r:id="rId93" name="Check Box 158">
              <controlPr defaultSize="0" autoPict="0">
                <anchor moveWithCells="1">
                  <from>
                    <xdr:col>10</xdr:col>
                    <xdr:colOff>266700</xdr:colOff>
                    <xdr:row>130</xdr:row>
                    <xdr:rowOff>38100</xdr:rowOff>
                  </from>
                  <to>
                    <xdr:col>10</xdr:col>
                    <xdr:colOff>485775</xdr:colOff>
                    <xdr:row>130</xdr:row>
                    <xdr:rowOff>161925</xdr:rowOff>
                  </to>
                </anchor>
              </controlPr>
            </control>
          </mc:Choice>
        </mc:AlternateContent>
        <mc:AlternateContent xmlns:mc="http://schemas.openxmlformats.org/markup-compatibility/2006">
          <mc:Choice Requires="x14">
            <control shapeId="28831" r:id="rId94" name="Check Box 159">
              <controlPr defaultSize="0" autoPict="0">
                <anchor moveWithCells="1">
                  <from>
                    <xdr:col>10</xdr:col>
                    <xdr:colOff>266700</xdr:colOff>
                    <xdr:row>131</xdr:row>
                    <xdr:rowOff>47625</xdr:rowOff>
                  </from>
                  <to>
                    <xdr:col>10</xdr:col>
                    <xdr:colOff>495300</xdr:colOff>
                    <xdr:row>131</xdr:row>
                    <xdr:rowOff>161925</xdr:rowOff>
                  </to>
                </anchor>
              </controlPr>
            </control>
          </mc:Choice>
        </mc:AlternateContent>
        <mc:AlternateContent xmlns:mc="http://schemas.openxmlformats.org/markup-compatibility/2006">
          <mc:Choice Requires="x14">
            <control shapeId="28832" r:id="rId95" name="Check Box 160">
              <controlPr defaultSize="0" autoPict="0">
                <anchor moveWithCells="1">
                  <from>
                    <xdr:col>10</xdr:col>
                    <xdr:colOff>266700</xdr:colOff>
                    <xdr:row>132</xdr:row>
                    <xdr:rowOff>38100</xdr:rowOff>
                  </from>
                  <to>
                    <xdr:col>10</xdr:col>
                    <xdr:colOff>495300</xdr:colOff>
                    <xdr:row>132</xdr:row>
                    <xdr:rowOff>161925</xdr:rowOff>
                  </to>
                </anchor>
              </controlPr>
            </control>
          </mc:Choice>
        </mc:AlternateContent>
        <mc:AlternateContent xmlns:mc="http://schemas.openxmlformats.org/markup-compatibility/2006">
          <mc:Choice Requires="x14">
            <control shapeId="28833" r:id="rId96" name="Group Box 161">
              <controlPr defaultSize="0" autoPict="0">
                <anchor moveWithCells="1">
                  <from>
                    <xdr:col>1</xdr:col>
                    <xdr:colOff>0</xdr:colOff>
                    <xdr:row>36</xdr:row>
                    <xdr:rowOff>190500</xdr:rowOff>
                  </from>
                  <to>
                    <xdr:col>6</xdr:col>
                    <xdr:colOff>0</xdr:colOff>
                    <xdr:row>38</xdr:row>
                    <xdr:rowOff>0</xdr:rowOff>
                  </to>
                </anchor>
              </controlPr>
            </control>
          </mc:Choice>
        </mc:AlternateContent>
        <mc:AlternateContent xmlns:mc="http://schemas.openxmlformats.org/markup-compatibility/2006">
          <mc:Choice Requires="x14">
            <control shapeId="28834" r:id="rId97" name="Group Box 162">
              <controlPr defaultSize="0" autoPict="0">
                <anchor moveWithCells="1">
                  <from>
                    <xdr:col>1</xdr:col>
                    <xdr:colOff>0</xdr:colOff>
                    <xdr:row>39</xdr:row>
                    <xdr:rowOff>0</xdr:rowOff>
                  </from>
                  <to>
                    <xdr:col>11</xdr:col>
                    <xdr:colOff>0</xdr:colOff>
                    <xdr:row>41</xdr:row>
                    <xdr:rowOff>0</xdr:rowOff>
                  </to>
                </anchor>
              </controlPr>
            </control>
          </mc:Choice>
        </mc:AlternateContent>
        <mc:AlternateContent xmlns:mc="http://schemas.openxmlformats.org/markup-compatibility/2006">
          <mc:Choice Requires="x14">
            <control shapeId="28835" r:id="rId98" name="Group Box 163">
              <controlPr defaultSize="0" autoPict="0">
                <anchor moveWithCells="1">
                  <from>
                    <xdr:col>7</xdr:col>
                    <xdr:colOff>0</xdr:colOff>
                    <xdr:row>41</xdr:row>
                    <xdr:rowOff>0</xdr:rowOff>
                  </from>
                  <to>
                    <xdr:col>11</xdr:col>
                    <xdr:colOff>0</xdr:colOff>
                    <xdr:row>42</xdr:row>
                    <xdr:rowOff>0</xdr:rowOff>
                  </to>
                </anchor>
              </controlPr>
            </control>
          </mc:Choice>
        </mc:AlternateContent>
        <mc:AlternateContent xmlns:mc="http://schemas.openxmlformats.org/markup-compatibility/2006">
          <mc:Choice Requires="x14">
            <control shapeId="28837" r:id="rId99" name="Group Box 165">
              <controlPr defaultSize="0" autoPict="0">
                <anchor moveWithCells="1">
                  <from>
                    <xdr:col>1</xdr:col>
                    <xdr:colOff>0</xdr:colOff>
                    <xdr:row>71</xdr:row>
                    <xdr:rowOff>190500</xdr:rowOff>
                  </from>
                  <to>
                    <xdr:col>11</xdr:col>
                    <xdr:colOff>0</xdr:colOff>
                    <xdr:row>74</xdr:row>
                    <xdr:rowOff>0</xdr:rowOff>
                  </to>
                </anchor>
              </controlPr>
            </control>
          </mc:Choice>
        </mc:AlternateContent>
        <mc:AlternateContent xmlns:mc="http://schemas.openxmlformats.org/markup-compatibility/2006">
          <mc:Choice Requires="x14">
            <control shapeId="28838" r:id="rId100" name="Group Box 166">
              <controlPr defaultSize="0" autoPict="0">
                <anchor moveWithCells="1">
                  <from>
                    <xdr:col>7</xdr:col>
                    <xdr:colOff>0</xdr:colOff>
                    <xdr:row>78</xdr:row>
                    <xdr:rowOff>190500</xdr:rowOff>
                  </from>
                  <to>
                    <xdr:col>11</xdr:col>
                    <xdr:colOff>0</xdr:colOff>
                    <xdr:row>80</xdr:row>
                    <xdr:rowOff>0</xdr:rowOff>
                  </to>
                </anchor>
              </controlPr>
            </control>
          </mc:Choice>
        </mc:AlternateContent>
        <mc:AlternateContent xmlns:mc="http://schemas.openxmlformats.org/markup-compatibility/2006">
          <mc:Choice Requires="x14">
            <control shapeId="28839" r:id="rId101" name="Group Box 167">
              <controlPr defaultSize="0" autoPict="0">
                <anchor moveWithCells="1">
                  <from>
                    <xdr:col>6</xdr:col>
                    <xdr:colOff>714375</xdr:colOff>
                    <xdr:row>81</xdr:row>
                    <xdr:rowOff>190500</xdr:rowOff>
                  </from>
                  <to>
                    <xdr:col>11</xdr:col>
                    <xdr:colOff>0</xdr:colOff>
                    <xdr:row>83</xdr:row>
                    <xdr:rowOff>0</xdr:rowOff>
                  </to>
                </anchor>
              </controlPr>
            </control>
          </mc:Choice>
        </mc:AlternateContent>
        <mc:AlternateContent xmlns:mc="http://schemas.openxmlformats.org/markup-compatibility/2006">
          <mc:Choice Requires="x14">
            <control shapeId="28840" r:id="rId102" name="Group Box 168">
              <controlPr defaultSize="0" autoPict="0">
                <anchor moveWithCells="1">
                  <from>
                    <xdr:col>0</xdr:col>
                    <xdr:colOff>447675</xdr:colOff>
                    <xdr:row>84</xdr:row>
                    <xdr:rowOff>0</xdr:rowOff>
                  </from>
                  <to>
                    <xdr:col>3</xdr:col>
                    <xdr:colOff>0</xdr:colOff>
                    <xdr:row>85</xdr:row>
                    <xdr:rowOff>0</xdr:rowOff>
                  </to>
                </anchor>
              </controlPr>
            </control>
          </mc:Choice>
        </mc:AlternateContent>
        <mc:AlternateContent xmlns:mc="http://schemas.openxmlformats.org/markup-compatibility/2006">
          <mc:Choice Requires="x14">
            <control shapeId="28841" r:id="rId103" name="Group Box 169">
              <controlPr defaultSize="0" autoPict="0">
                <anchor moveWithCells="1">
                  <from>
                    <xdr:col>0</xdr:col>
                    <xdr:colOff>447675</xdr:colOff>
                    <xdr:row>86</xdr:row>
                    <xdr:rowOff>0</xdr:rowOff>
                  </from>
                  <to>
                    <xdr:col>3</xdr:col>
                    <xdr:colOff>0</xdr:colOff>
                    <xdr:row>87</xdr:row>
                    <xdr:rowOff>0</xdr:rowOff>
                  </to>
                </anchor>
              </controlPr>
            </control>
          </mc:Choice>
        </mc:AlternateContent>
        <mc:AlternateContent xmlns:mc="http://schemas.openxmlformats.org/markup-compatibility/2006">
          <mc:Choice Requires="x14">
            <control shapeId="28842" r:id="rId104" name="Group Box 170">
              <controlPr defaultSize="0" autoPict="0">
                <anchor moveWithCells="1">
                  <from>
                    <xdr:col>6</xdr:col>
                    <xdr:colOff>714375</xdr:colOff>
                    <xdr:row>86</xdr:row>
                    <xdr:rowOff>504825</xdr:rowOff>
                  </from>
                  <to>
                    <xdr:col>11</xdr:col>
                    <xdr:colOff>0</xdr:colOff>
                    <xdr:row>88</xdr:row>
                    <xdr:rowOff>0</xdr:rowOff>
                  </to>
                </anchor>
              </controlPr>
            </control>
          </mc:Choice>
        </mc:AlternateContent>
        <mc:AlternateContent xmlns:mc="http://schemas.openxmlformats.org/markup-compatibility/2006">
          <mc:Choice Requires="x14">
            <control shapeId="28843" r:id="rId105" name="Group Box 171">
              <controlPr defaultSize="0" autoPict="0">
                <anchor moveWithCells="1">
                  <from>
                    <xdr:col>1</xdr:col>
                    <xdr:colOff>0</xdr:colOff>
                    <xdr:row>88</xdr:row>
                    <xdr:rowOff>190500</xdr:rowOff>
                  </from>
                  <to>
                    <xdr:col>11</xdr:col>
                    <xdr:colOff>0</xdr:colOff>
                    <xdr:row>91</xdr:row>
                    <xdr:rowOff>0</xdr:rowOff>
                  </to>
                </anchor>
              </controlPr>
            </control>
          </mc:Choice>
        </mc:AlternateContent>
        <mc:AlternateContent xmlns:mc="http://schemas.openxmlformats.org/markup-compatibility/2006">
          <mc:Choice Requires="x14">
            <control shapeId="28844" r:id="rId106" name="Group Box 172">
              <controlPr defaultSize="0" autoPict="0">
                <anchor moveWithCells="1">
                  <from>
                    <xdr:col>3</xdr:col>
                    <xdr:colOff>0</xdr:colOff>
                    <xdr:row>90</xdr:row>
                    <xdr:rowOff>190500</xdr:rowOff>
                  </from>
                  <to>
                    <xdr:col>11</xdr:col>
                    <xdr:colOff>0</xdr:colOff>
                    <xdr:row>93</xdr:row>
                    <xdr:rowOff>0</xdr:rowOff>
                  </to>
                </anchor>
              </controlPr>
            </control>
          </mc:Choice>
        </mc:AlternateContent>
        <mc:AlternateContent xmlns:mc="http://schemas.openxmlformats.org/markup-compatibility/2006">
          <mc:Choice Requires="x14">
            <control shapeId="28845" r:id="rId107" name="Group Box 173">
              <controlPr defaultSize="0" autoPict="0">
                <anchor moveWithCells="1">
                  <from>
                    <xdr:col>3</xdr:col>
                    <xdr:colOff>0</xdr:colOff>
                    <xdr:row>93</xdr:row>
                    <xdr:rowOff>0</xdr:rowOff>
                  </from>
                  <to>
                    <xdr:col>11</xdr:col>
                    <xdr:colOff>0</xdr:colOff>
                    <xdr:row>95</xdr:row>
                    <xdr:rowOff>0</xdr:rowOff>
                  </to>
                </anchor>
              </controlPr>
            </control>
          </mc:Choice>
        </mc:AlternateContent>
        <mc:AlternateContent xmlns:mc="http://schemas.openxmlformats.org/markup-compatibility/2006">
          <mc:Choice Requires="x14">
            <control shapeId="28846" r:id="rId108" name="Group Box 174">
              <controlPr defaultSize="0" autoPict="0">
                <anchor moveWithCells="1">
                  <from>
                    <xdr:col>6</xdr:col>
                    <xdr:colOff>714375</xdr:colOff>
                    <xdr:row>94</xdr:row>
                    <xdr:rowOff>190500</xdr:rowOff>
                  </from>
                  <to>
                    <xdr:col>11</xdr:col>
                    <xdr:colOff>0</xdr:colOff>
                    <xdr:row>96</xdr:row>
                    <xdr:rowOff>0</xdr:rowOff>
                  </to>
                </anchor>
              </controlPr>
            </control>
          </mc:Choice>
        </mc:AlternateContent>
        <mc:AlternateContent xmlns:mc="http://schemas.openxmlformats.org/markup-compatibility/2006">
          <mc:Choice Requires="x14">
            <control shapeId="28847" r:id="rId109" name="Group Box 175">
              <controlPr defaultSize="0" autoPict="0">
                <anchor moveWithCells="1">
                  <from>
                    <xdr:col>6</xdr:col>
                    <xdr:colOff>714375</xdr:colOff>
                    <xdr:row>95</xdr:row>
                    <xdr:rowOff>190500</xdr:rowOff>
                  </from>
                  <to>
                    <xdr:col>11</xdr:col>
                    <xdr:colOff>0</xdr:colOff>
                    <xdr:row>97</xdr:row>
                    <xdr:rowOff>0</xdr:rowOff>
                  </to>
                </anchor>
              </controlPr>
            </control>
          </mc:Choice>
        </mc:AlternateContent>
        <mc:AlternateContent xmlns:mc="http://schemas.openxmlformats.org/markup-compatibility/2006">
          <mc:Choice Requires="x14">
            <control shapeId="28848" r:id="rId110" name="Group Box 176">
              <controlPr defaultSize="0" autoPict="0">
                <anchor moveWithCells="1">
                  <from>
                    <xdr:col>6</xdr:col>
                    <xdr:colOff>714375</xdr:colOff>
                    <xdr:row>97</xdr:row>
                    <xdr:rowOff>190500</xdr:rowOff>
                  </from>
                  <to>
                    <xdr:col>11</xdr:col>
                    <xdr:colOff>0</xdr:colOff>
                    <xdr:row>99</xdr:row>
                    <xdr:rowOff>0</xdr:rowOff>
                  </to>
                </anchor>
              </controlPr>
            </control>
          </mc:Choice>
        </mc:AlternateContent>
        <mc:AlternateContent xmlns:mc="http://schemas.openxmlformats.org/markup-compatibility/2006">
          <mc:Choice Requires="x14">
            <control shapeId="28849" r:id="rId111" name="Group Box 177">
              <controlPr defaultSize="0" autoPict="0">
                <anchor moveWithCells="1">
                  <from>
                    <xdr:col>6</xdr:col>
                    <xdr:colOff>0</xdr:colOff>
                    <xdr:row>98</xdr:row>
                    <xdr:rowOff>571500</xdr:rowOff>
                  </from>
                  <to>
                    <xdr:col>11</xdr:col>
                    <xdr:colOff>0</xdr:colOff>
                    <xdr:row>100</xdr:row>
                    <xdr:rowOff>0</xdr:rowOff>
                  </to>
                </anchor>
              </controlPr>
            </control>
          </mc:Choice>
        </mc:AlternateContent>
        <mc:AlternateContent xmlns:mc="http://schemas.openxmlformats.org/markup-compatibility/2006">
          <mc:Choice Requires="x14">
            <control shapeId="28850" r:id="rId112" name="Group Box 178">
              <controlPr defaultSize="0" autoPict="0">
                <anchor moveWithCells="1">
                  <from>
                    <xdr:col>9</xdr:col>
                    <xdr:colOff>0</xdr:colOff>
                    <xdr:row>100</xdr:row>
                    <xdr:rowOff>0</xdr:rowOff>
                  </from>
                  <to>
                    <xdr:col>11</xdr:col>
                    <xdr:colOff>0</xdr:colOff>
                    <xdr:row>101</xdr:row>
                    <xdr:rowOff>0</xdr:rowOff>
                  </to>
                </anchor>
              </controlPr>
            </control>
          </mc:Choice>
        </mc:AlternateContent>
        <mc:AlternateContent xmlns:mc="http://schemas.openxmlformats.org/markup-compatibility/2006">
          <mc:Choice Requires="x14">
            <control shapeId="28851" r:id="rId113" name="Group Box 179">
              <controlPr defaultSize="0" autoPict="0">
                <anchor moveWithCells="1">
                  <from>
                    <xdr:col>9</xdr:col>
                    <xdr:colOff>0</xdr:colOff>
                    <xdr:row>101</xdr:row>
                    <xdr:rowOff>0</xdr:rowOff>
                  </from>
                  <to>
                    <xdr:col>11</xdr:col>
                    <xdr:colOff>0</xdr:colOff>
                    <xdr:row>102</xdr:row>
                    <xdr:rowOff>0</xdr:rowOff>
                  </to>
                </anchor>
              </controlPr>
            </control>
          </mc:Choice>
        </mc:AlternateContent>
        <mc:AlternateContent xmlns:mc="http://schemas.openxmlformats.org/markup-compatibility/2006">
          <mc:Choice Requires="x14">
            <control shapeId="28852" r:id="rId114" name="Group Box 180">
              <controlPr defaultSize="0" autoPict="0">
                <anchor moveWithCells="1">
                  <from>
                    <xdr:col>9</xdr:col>
                    <xdr:colOff>0</xdr:colOff>
                    <xdr:row>102</xdr:row>
                    <xdr:rowOff>0</xdr:rowOff>
                  </from>
                  <to>
                    <xdr:col>11</xdr:col>
                    <xdr:colOff>0</xdr:colOff>
                    <xdr:row>103</xdr:row>
                    <xdr:rowOff>0</xdr:rowOff>
                  </to>
                </anchor>
              </controlPr>
            </control>
          </mc:Choice>
        </mc:AlternateContent>
        <mc:AlternateContent xmlns:mc="http://schemas.openxmlformats.org/markup-compatibility/2006">
          <mc:Choice Requires="x14">
            <control shapeId="28853" r:id="rId115" name="Group Box 181">
              <controlPr defaultSize="0" autoPict="0">
                <anchor moveWithCells="1">
                  <from>
                    <xdr:col>9</xdr:col>
                    <xdr:colOff>0</xdr:colOff>
                    <xdr:row>102</xdr:row>
                    <xdr:rowOff>190500</xdr:rowOff>
                  </from>
                  <to>
                    <xdr:col>11</xdr:col>
                    <xdr:colOff>0</xdr:colOff>
                    <xdr:row>104</xdr:row>
                    <xdr:rowOff>0</xdr:rowOff>
                  </to>
                </anchor>
              </controlPr>
            </control>
          </mc:Choice>
        </mc:AlternateContent>
        <mc:AlternateContent xmlns:mc="http://schemas.openxmlformats.org/markup-compatibility/2006">
          <mc:Choice Requires="x14">
            <control shapeId="28854" r:id="rId116" name="Group Box 182">
              <controlPr defaultSize="0" autoPict="0">
                <anchor moveWithCells="1">
                  <from>
                    <xdr:col>6</xdr:col>
                    <xdr:colOff>714375</xdr:colOff>
                    <xdr:row>103</xdr:row>
                    <xdr:rowOff>381000</xdr:rowOff>
                  </from>
                  <to>
                    <xdr:col>11</xdr:col>
                    <xdr:colOff>0</xdr:colOff>
                    <xdr:row>105</xdr:row>
                    <xdr:rowOff>0</xdr:rowOff>
                  </to>
                </anchor>
              </controlPr>
            </control>
          </mc:Choice>
        </mc:AlternateContent>
        <mc:AlternateContent xmlns:mc="http://schemas.openxmlformats.org/markup-compatibility/2006">
          <mc:Choice Requires="x14">
            <control shapeId="28855" r:id="rId117" name="Group Box 183">
              <controlPr defaultSize="0" autoPict="0">
                <anchor moveWithCells="1">
                  <from>
                    <xdr:col>5</xdr:col>
                    <xdr:colOff>714375</xdr:colOff>
                    <xdr:row>105</xdr:row>
                    <xdr:rowOff>190500</xdr:rowOff>
                  </from>
                  <to>
                    <xdr:col>11</xdr:col>
                    <xdr:colOff>0</xdr:colOff>
                    <xdr:row>107</xdr:row>
                    <xdr:rowOff>0</xdr:rowOff>
                  </to>
                </anchor>
              </controlPr>
            </control>
          </mc:Choice>
        </mc:AlternateContent>
        <mc:AlternateContent xmlns:mc="http://schemas.openxmlformats.org/markup-compatibility/2006">
          <mc:Choice Requires="x14">
            <control shapeId="28856" r:id="rId118" name="Group Box 184">
              <controlPr defaultSize="0" autoPict="0">
                <anchor moveWithCells="1">
                  <from>
                    <xdr:col>9</xdr:col>
                    <xdr:colOff>0</xdr:colOff>
                    <xdr:row>107</xdr:row>
                    <xdr:rowOff>0</xdr:rowOff>
                  </from>
                  <to>
                    <xdr:col>11</xdr:col>
                    <xdr:colOff>0</xdr:colOff>
                    <xdr:row>108</xdr:row>
                    <xdr:rowOff>0</xdr:rowOff>
                  </to>
                </anchor>
              </controlPr>
            </control>
          </mc:Choice>
        </mc:AlternateContent>
        <mc:AlternateContent xmlns:mc="http://schemas.openxmlformats.org/markup-compatibility/2006">
          <mc:Choice Requires="x14">
            <control shapeId="28857" r:id="rId119" name="Group Box 185">
              <controlPr defaultSize="0" autoPict="0">
                <anchor moveWithCells="1">
                  <from>
                    <xdr:col>9</xdr:col>
                    <xdr:colOff>0</xdr:colOff>
                    <xdr:row>108</xdr:row>
                    <xdr:rowOff>0</xdr:rowOff>
                  </from>
                  <to>
                    <xdr:col>11</xdr:col>
                    <xdr:colOff>0</xdr:colOff>
                    <xdr:row>109</xdr:row>
                    <xdr:rowOff>0</xdr:rowOff>
                  </to>
                </anchor>
              </controlPr>
            </control>
          </mc:Choice>
        </mc:AlternateContent>
        <mc:AlternateContent xmlns:mc="http://schemas.openxmlformats.org/markup-compatibility/2006">
          <mc:Choice Requires="x14">
            <control shapeId="28858" r:id="rId120" name="Group Box 186">
              <controlPr defaultSize="0" autoPict="0">
                <anchor moveWithCells="1">
                  <from>
                    <xdr:col>5</xdr:col>
                    <xdr:colOff>714375</xdr:colOff>
                    <xdr:row>109</xdr:row>
                    <xdr:rowOff>0</xdr:rowOff>
                  </from>
                  <to>
                    <xdr:col>11</xdr:col>
                    <xdr:colOff>0</xdr:colOff>
                    <xdr:row>110</xdr:row>
                    <xdr:rowOff>0</xdr:rowOff>
                  </to>
                </anchor>
              </controlPr>
            </control>
          </mc:Choice>
        </mc:AlternateContent>
        <mc:AlternateContent xmlns:mc="http://schemas.openxmlformats.org/markup-compatibility/2006">
          <mc:Choice Requires="x14">
            <control shapeId="28859" r:id="rId121" name="Group Box 187">
              <controlPr defaultSize="0" autoPict="0">
                <anchor moveWithCells="1">
                  <from>
                    <xdr:col>9</xdr:col>
                    <xdr:colOff>0</xdr:colOff>
                    <xdr:row>111</xdr:row>
                    <xdr:rowOff>0</xdr:rowOff>
                  </from>
                  <to>
                    <xdr:col>11</xdr:col>
                    <xdr:colOff>0</xdr:colOff>
                    <xdr:row>112</xdr:row>
                    <xdr:rowOff>0</xdr:rowOff>
                  </to>
                </anchor>
              </controlPr>
            </control>
          </mc:Choice>
        </mc:AlternateContent>
        <mc:AlternateContent xmlns:mc="http://schemas.openxmlformats.org/markup-compatibility/2006">
          <mc:Choice Requires="x14">
            <control shapeId="28860" r:id="rId122" name="Group Box 188">
              <controlPr defaultSize="0" autoPict="0">
                <anchor moveWithCells="1">
                  <from>
                    <xdr:col>9</xdr:col>
                    <xdr:colOff>0</xdr:colOff>
                    <xdr:row>112</xdr:row>
                    <xdr:rowOff>0</xdr:rowOff>
                  </from>
                  <to>
                    <xdr:col>11</xdr:col>
                    <xdr:colOff>0</xdr:colOff>
                    <xdr:row>113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error="Пожалуйста, выберите вариант из списка." xr:uid="{00000000-0002-0000-0000-000009000000}">
          <x14:formula1>
            <xm:f>перечень!$G$1:$G$30</xm:f>
          </x14:formula1>
          <xm:sqref>B32:K32</xm:sqref>
        </x14:dataValidation>
        <x14:dataValidation type="list" errorStyle="information" allowBlank="1" showInputMessage="1" showErrorMessage="1" error="Пожалуйста, выберите вариант из списка" xr:uid="{00000000-0002-0000-0000-00000B000000}">
          <x14:formula1>
            <xm:f>перечень!$K$1:$K$28</xm:f>
          </x14:formula1>
          <xm:sqref>B55:G55</xm:sqref>
        </x14:dataValidation>
        <x14:dataValidation type="whole" allowBlank="1" showInputMessage="1" showErrorMessage="1" errorTitle="Некорректный ввод данных." error="Используйте формат ГГГГ._x000a_Год не может быть больше текущего года." xr:uid="{00000000-0002-0000-0000-00000E000000}">
          <x14:formula1>
            <xm:f>1500</xm:f>
          </x14:formula1>
          <x14:formula2>
            <xm:f>Export!G2</xm:f>
          </x14:formula2>
          <xm:sqref>H81:K81</xm:sqref>
        </x14:dataValidation>
        <x14:dataValidation type="date" allowBlank="1" showInputMessage="1" showErrorMessage="1" errorTitle="Некорректный ввод данных." error="Используйте формат ДД.ММ.ГГГГ._x000a_Дата убытка не может быть больше текущей даты." xr:uid="{00000000-0002-0000-0000-000018000000}">
          <x14:formula1>
            <xm:f>1</xm:f>
          </x14:formula1>
          <x14:formula2>
            <xm:f>Export!F2</xm:f>
          </x14:formula2>
          <xm:sqref>B116:C118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dimension ref="A1:K34"/>
  <sheetViews>
    <sheetView view="pageBreakPreview" zoomScale="115" zoomScaleNormal="100" zoomScalePageLayoutView="55" workbookViewId="0">
      <pane ySplit="1" topLeftCell="A2" activePane="bottomLeft" state="frozen"/>
      <selection pane="bottomLeft" activeCell="F10" sqref="F10"/>
    </sheetView>
  </sheetViews>
  <sheetFormatPr defaultColWidth="10.140625" defaultRowHeight="15"/>
  <cols>
    <col min="1" max="1" width="6.7109375" style="81" customWidth="1"/>
    <col min="2" max="11" width="10.7109375" style="71" customWidth="1"/>
    <col min="12" max="38" width="5.7109375" style="71" customWidth="1"/>
    <col min="39" max="16384" width="10.140625" style="71"/>
  </cols>
  <sheetData>
    <row r="1" spans="1:11" ht="35.1" customHeight="1">
      <c r="A1" s="452" t="s">
        <v>140</v>
      </c>
      <c r="B1" s="453"/>
      <c r="C1" s="453"/>
      <c r="D1" s="453"/>
      <c r="E1" s="453"/>
      <c r="F1" s="453"/>
      <c r="G1" s="453"/>
      <c r="H1" s="453"/>
      <c r="I1" s="453"/>
      <c r="J1" s="453"/>
      <c r="K1" s="454"/>
    </row>
    <row r="2" spans="1:11" ht="5.0999999999999996" customHeight="1">
      <c r="A2" s="455"/>
      <c r="B2" s="455"/>
      <c r="C2" s="455"/>
      <c r="D2" s="455"/>
      <c r="E2" s="455"/>
      <c r="F2" s="455"/>
      <c r="G2" s="455"/>
      <c r="H2" s="455"/>
      <c r="I2" s="455"/>
      <c r="J2" s="455"/>
      <c r="K2" s="455"/>
    </row>
    <row r="3" spans="1:11" ht="30" customHeight="1">
      <c r="A3" s="495" t="s">
        <v>141</v>
      </c>
      <c r="B3" s="456" t="s">
        <v>142</v>
      </c>
      <c r="C3" s="457"/>
      <c r="D3" s="457"/>
      <c r="E3" s="457"/>
      <c r="F3" s="457"/>
      <c r="G3" s="457"/>
      <c r="H3" s="457"/>
      <c r="I3" s="457"/>
      <c r="J3" s="457"/>
      <c r="K3" s="458"/>
    </row>
    <row r="4" spans="1:11" ht="15" customHeight="1">
      <c r="A4" s="495"/>
      <c r="B4" s="459" t="s">
        <v>64</v>
      </c>
      <c r="C4" s="459"/>
      <c r="D4" s="459"/>
      <c r="E4" s="460"/>
      <c r="F4" s="461"/>
      <c r="G4" s="462" t="s">
        <v>54</v>
      </c>
      <c r="H4" s="463"/>
      <c r="I4" s="464"/>
      <c r="J4" s="460"/>
      <c r="K4" s="461"/>
    </row>
    <row r="5" spans="1:11">
      <c r="A5" s="496" t="s">
        <v>37</v>
      </c>
      <c r="B5" s="465" t="s">
        <v>143</v>
      </c>
      <c r="C5" s="466"/>
      <c r="D5" s="466"/>
      <c r="E5" s="466"/>
      <c r="F5" s="466"/>
      <c r="G5" s="466"/>
      <c r="H5" s="466"/>
      <c r="I5" s="466"/>
      <c r="J5" s="466"/>
      <c r="K5" s="467"/>
    </row>
    <row r="6" spans="1:11" ht="252.75" customHeight="1">
      <c r="A6" s="497"/>
      <c r="B6" s="468"/>
      <c r="C6" s="469"/>
      <c r="D6" s="469"/>
      <c r="E6" s="469"/>
      <c r="F6" s="469"/>
      <c r="G6" s="469"/>
      <c r="H6" s="469"/>
      <c r="I6" s="469"/>
      <c r="J6" s="469"/>
      <c r="K6" s="470"/>
    </row>
    <row r="7" spans="1:11" ht="15" customHeight="1">
      <c r="A7" s="73" t="s">
        <v>87</v>
      </c>
      <c r="B7" s="471" t="s">
        <v>144</v>
      </c>
      <c r="C7" s="471"/>
      <c r="D7" s="471"/>
      <c r="E7" s="471"/>
      <c r="F7" s="471"/>
      <c r="G7" s="471"/>
      <c r="H7" s="471"/>
      <c r="I7" s="471"/>
      <c r="J7" s="471"/>
      <c r="K7" s="471"/>
    </row>
    <row r="8" spans="1:11" ht="5.0999999999999996" customHeight="1">
      <c r="A8" s="472"/>
      <c r="B8" s="472"/>
      <c r="C8" s="472"/>
      <c r="D8" s="472"/>
      <c r="E8" s="472"/>
      <c r="F8" s="472"/>
      <c r="G8" s="472"/>
      <c r="H8" s="472"/>
      <c r="I8" s="472"/>
      <c r="J8" s="472"/>
      <c r="K8" s="472"/>
    </row>
    <row r="9" spans="1:11" ht="35.1" customHeight="1">
      <c r="A9" s="498"/>
      <c r="B9" s="74" t="s">
        <v>145</v>
      </c>
      <c r="C9" s="473" t="s">
        <v>146</v>
      </c>
      <c r="D9" s="473"/>
      <c r="E9" s="473"/>
      <c r="F9" s="75" t="s">
        <v>147</v>
      </c>
      <c r="G9" s="473" t="s">
        <v>148</v>
      </c>
      <c r="H9" s="474"/>
      <c r="I9" s="473" t="s">
        <v>149</v>
      </c>
      <c r="J9" s="473"/>
      <c r="K9" s="499"/>
    </row>
    <row r="10" spans="1:11">
      <c r="A10" s="498"/>
      <c r="B10" s="83">
        <v>1</v>
      </c>
      <c r="C10" s="475"/>
      <c r="D10" s="476"/>
      <c r="E10" s="477"/>
      <c r="F10" s="84"/>
      <c r="G10" s="478"/>
      <c r="H10" s="479"/>
      <c r="I10" s="480"/>
      <c r="J10" s="481"/>
      <c r="K10" s="499"/>
    </row>
    <row r="11" spans="1:11">
      <c r="A11" s="498"/>
      <c r="B11" s="85" t="s">
        <v>150</v>
      </c>
      <c r="C11" s="482"/>
      <c r="D11" s="483"/>
      <c r="E11" s="484"/>
      <c r="F11" s="86"/>
      <c r="G11" s="485"/>
      <c r="H11" s="486"/>
      <c r="I11" s="487"/>
      <c r="J11" s="488"/>
      <c r="K11" s="499"/>
    </row>
    <row r="12" spans="1:11">
      <c r="A12" s="87"/>
      <c r="B12" s="87"/>
      <c r="C12" s="489"/>
      <c r="D12" s="489"/>
      <c r="E12" s="489"/>
      <c r="F12" s="88"/>
      <c r="G12" s="490"/>
      <c r="H12" s="490"/>
      <c r="I12" s="491"/>
      <c r="J12" s="491"/>
      <c r="K12" s="87"/>
    </row>
    <row r="13" spans="1:11">
      <c r="A13" s="89"/>
      <c r="B13" s="80"/>
      <c r="C13" s="492"/>
      <c r="D13" s="492"/>
      <c r="E13" s="492"/>
      <c r="F13" s="90"/>
      <c r="G13" s="493"/>
      <c r="H13" s="493"/>
      <c r="I13" s="494"/>
      <c r="J13" s="494"/>
      <c r="K13" s="80"/>
    </row>
    <row r="14" spans="1:11">
      <c r="A14" s="89"/>
      <c r="B14" s="80"/>
      <c r="C14" s="492"/>
      <c r="D14" s="492"/>
      <c r="E14" s="492"/>
      <c r="F14" s="90"/>
      <c r="G14" s="493"/>
      <c r="H14" s="493"/>
      <c r="I14" s="494"/>
      <c r="J14" s="494"/>
      <c r="K14" s="80"/>
    </row>
    <row r="15" spans="1:11">
      <c r="A15" s="89"/>
      <c r="B15" s="80"/>
      <c r="C15" s="492"/>
      <c r="D15" s="492"/>
      <c r="E15" s="492"/>
      <c r="F15" s="90"/>
      <c r="G15" s="493"/>
      <c r="H15" s="493"/>
      <c r="I15" s="494"/>
      <c r="J15" s="494"/>
      <c r="K15" s="80"/>
    </row>
    <row r="16" spans="1:11">
      <c r="A16" s="89"/>
      <c r="B16" s="80"/>
      <c r="C16" s="492"/>
      <c r="D16" s="492"/>
      <c r="E16" s="492"/>
      <c r="F16" s="90"/>
      <c r="G16" s="493"/>
      <c r="H16" s="493"/>
      <c r="I16" s="494"/>
      <c r="J16" s="494"/>
      <c r="K16" s="80"/>
    </row>
    <row r="17" spans="1:11">
      <c r="A17" s="89"/>
      <c r="B17" s="80"/>
      <c r="C17" s="492"/>
      <c r="D17" s="492"/>
      <c r="E17" s="492"/>
      <c r="F17" s="90"/>
      <c r="G17" s="493"/>
      <c r="H17" s="493"/>
      <c r="I17" s="494"/>
      <c r="J17" s="494"/>
      <c r="K17" s="80"/>
    </row>
    <row r="18" spans="1:11">
      <c r="A18" s="89"/>
      <c r="B18" s="80"/>
      <c r="C18" s="492"/>
      <c r="D18" s="492"/>
      <c r="E18" s="492"/>
      <c r="F18" s="90"/>
      <c r="G18" s="493"/>
      <c r="H18" s="493"/>
      <c r="I18" s="494"/>
      <c r="J18" s="494"/>
      <c r="K18" s="80"/>
    </row>
    <row r="19" spans="1:11">
      <c r="A19" s="89"/>
      <c r="B19" s="80"/>
      <c r="C19" s="492"/>
      <c r="D19" s="492"/>
      <c r="E19" s="492"/>
      <c r="F19" s="90"/>
      <c r="G19" s="493"/>
      <c r="H19" s="493"/>
      <c r="I19" s="494"/>
      <c r="J19" s="494"/>
      <c r="K19" s="80"/>
    </row>
    <row r="20" spans="1:11">
      <c r="A20" s="89"/>
      <c r="B20" s="80"/>
      <c r="C20" s="492"/>
      <c r="D20" s="492"/>
      <c r="E20" s="492"/>
      <c r="F20" s="90"/>
      <c r="G20" s="493"/>
      <c r="H20" s="493"/>
      <c r="I20" s="494"/>
      <c r="J20" s="494"/>
      <c r="K20" s="80"/>
    </row>
    <row r="21" spans="1:11">
      <c r="A21" s="89"/>
      <c r="B21" s="80"/>
      <c r="C21" s="492"/>
      <c r="D21" s="492"/>
      <c r="E21" s="492"/>
      <c r="F21" s="90"/>
      <c r="G21" s="493"/>
      <c r="H21" s="493"/>
      <c r="I21" s="494"/>
      <c r="J21" s="494"/>
      <c r="K21" s="80"/>
    </row>
    <row r="22" spans="1:11">
      <c r="A22" s="89"/>
      <c r="B22" s="80"/>
      <c r="C22" s="492"/>
      <c r="D22" s="492"/>
      <c r="E22" s="492"/>
      <c r="F22" s="90"/>
      <c r="G22" s="493"/>
      <c r="H22" s="493"/>
      <c r="I22" s="494"/>
      <c r="J22" s="494"/>
      <c r="K22" s="80"/>
    </row>
    <row r="23" spans="1:11">
      <c r="A23" s="89"/>
      <c r="B23" s="80"/>
      <c r="C23" s="492"/>
      <c r="D23" s="492"/>
      <c r="E23" s="492"/>
      <c r="F23" s="90"/>
      <c r="G23" s="493"/>
      <c r="H23" s="493"/>
      <c r="I23" s="494"/>
      <c r="J23" s="494"/>
      <c r="K23" s="80"/>
    </row>
    <row r="24" spans="1:11">
      <c r="A24" s="89"/>
      <c r="B24" s="80"/>
      <c r="C24" s="492"/>
      <c r="D24" s="492"/>
      <c r="E24" s="492"/>
      <c r="F24" s="90"/>
      <c r="G24" s="493"/>
      <c r="H24" s="493"/>
      <c r="I24" s="494"/>
      <c r="J24" s="494"/>
      <c r="K24" s="80"/>
    </row>
    <row r="25" spans="1:11">
      <c r="A25" s="89"/>
      <c r="B25" s="80"/>
      <c r="C25" s="492"/>
      <c r="D25" s="492"/>
      <c r="E25" s="492"/>
      <c r="F25" s="90"/>
      <c r="G25" s="493"/>
      <c r="H25" s="493"/>
      <c r="I25" s="494"/>
      <c r="J25" s="494"/>
      <c r="K25" s="80"/>
    </row>
    <row r="26" spans="1:11">
      <c r="A26" s="89"/>
      <c r="B26" s="80"/>
      <c r="C26" s="492"/>
      <c r="D26" s="492"/>
      <c r="E26" s="492"/>
      <c r="F26" s="90"/>
      <c r="G26" s="493"/>
      <c r="H26" s="493"/>
      <c r="I26" s="494"/>
      <c r="J26" s="494"/>
      <c r="K26" s="80"/>
    </row>
    <row r="27" spans="1:11">
      <c r="A27" s="89"/>
      <c r="B27" s="80"/>
      <c r="C27" s="492"/>
      <c r="D27" s="492"/>
      <c r="E27" s="492"/>
      <c r="F27" s="90"/>
      <c r="G27" s="493"/>
      <c r="H27" s="493"/>
      <c r="I27" s="494"/>
      <c r="J27" s="494"/>
      <c r="K27" s="80"/>
    </row>
    <row r="28" spans="1:11">
      <c r="A28" s="89"/>
      <c r="B28" s="80"/>
      <c r="C28" s="80"/>
      <c r="D28" s="80"/>
      <c r="E28" s="80"/>
      <c r="F28" s="80"/>
      <c r="G28" s="80"/>
      <c r="H28" s="80"/>
      <c r="I28" s="80"/>
      <c r="J28" s="80"/>
      <c r="K28" s="80"/>
    </row>
    <row r="29" spans="1:11">
      <c r="A29" s="89"/>
      <c r="B29" s="80"/>
      <c r="C29" s="80"/>
      <c r="D29" s="80"/>
      <c r="E29" s="80"/>
      <c r="F29" s="80"/>
      <c r="G29" s="80"/>
      <c r="H29" s="80"/>
      <c r="I29" s="80"/>
      <c r="J29" s="80"/>
      <c r="K29" s="80"/>
    </row>
    <row r="30" spans="1:11">
      <c r="A30" s="89"/>
      <c r="B30" s="80"/>
      <c r="C30" s="80"/>
      <c r="D30" s="80"/>
      <c r="E30" s="80"/>
      <c r="F30" s="80"/>
      <c r="G30" s="80"/>
      <c r="H30" s="80"/>
      <c r="I30" s="80"/>
      <c r="J30" s="80"/>
      <c r="K30" s="80"/>
    </row>
    <row r="31" spans="1:11">
      <c r="A31" s="89"/>
      <c r="B31" s="80"/>
      <c r="C31" s="80"/>
      <c r="D31" s="80"/>
      <c r="E31" s="80"/>
      <c r="F31" s="80"/>
      <c r="G31" s="80"/>
      <c r="H31" s="80"/>
      <c r="I31" s="80"/>
      <c r="J31" s="80"/>
      <c r="K31" s="80"/>
    </row>
    <row r="32" spans="1:11">
      <c r="A32" s="89"/>
      <c r="B32" s="80"/>
      <c r="C32" s="80"/>
      <c r="D32" s="80"/>
      <c r="E32" s="80"/>
      <c r="F32" s="80"/>
      <c r="G32" s="80"/>
      <c r="H32" s="80"/>
      <c r="I32" s="80"/>
      <c r="J32" s="80"/>
      <c r="K32" s="80"/>
    </row>
    <row r="33" spans="1:11">
      <c r="A33" s="89"/>
      <c r="B33" s="80"/>
      <c r="C33" s="80"/>
      <c r="D33" s="80"/>
      <c r="E33" s="80"/>
      <c r="F33" s="80"/>
      <c r="G33" s="80"/>
      <c r="H33" s="80"/>
      <c r="I33" s="80"/>
      <c r="J33" s="80"/>
      <c r="K33" s="80"/>
    </row>
    <row r="34" spans="1:11">
      <c r="A34" s="89"/>
      <c r="B34" s="80"/>
      <c r="C34" s="80"/>
      <c r="D34" s="80"/>
      <c r="E34" s="80"/>
      <c r="F34" s="80"/>
      <c r="G34" s="80"/>
      <c r="H34" s="80"/>
      <c r="I34" s="80"/>
      <c r="J34" s="80"/>
      <c r="K34" s="80"/>
    </row>
  </sheetData>
  <sheetProtection algorithmName="SHA-512" hashValue="YIS48N3sIb0+PuoIhULCdBjkMEHGI/ru7wYabmjYShXwk/6G2rJqbBEUg73dtO6BCzsVWCkz9hY1yNxCdUVToQ==" saltValue="9UED9tvQexwBaqbsqv3oyg==" spinCount="100000" sheet="1" objects="1" formatRows="0" selectLockedCells="1"/>
  <mergeCells count="72">
    <mergeCell ref="C26:E26"/>
    <mergeCell ref="G26:H26"/>
    <mergeCell ref="I26:J26"/>
    <mergeCell ref="C27:E27"/>
    <mergeCell ref="G27:H27"/>
    <mergeCell ref="I27:J27"/>
    <mergeCell ref="C24:E24"/>
    <mergeCell ref="G24:H24"/>
    <mergeCell ref="I24:J24"/>
    <mergeCell ref="C25:E25"/>
    <mergeCell ref="G25:H25"/>
    <mergeCell ref="I25:J25"/>
    <mergeCell ref="C22:E22"/>
    <mergeCell ref="G22:H22"/>
    <mergeCell ref="I22:J22"/>
    <mergeCell ref="C23:E23"/>
    <mergeCell ref="G23:H23"/>
    <mergeCell ref="I23:J23"/>
    <mergeCell ref="C20:E20"/>
    <mergeCell ref="G20:H20"/>
    <mergeCell ref="I20:J20"/>
    <mergeCell ref="C21:E21"/>
    <mergeCell ref="G21:H21"/>
    <mergeCell ref="I21:J21"/>
    <mergeCell ref="C18:E18"/>
    <mergeCell ref="G18:H18"/>
    <mergeCell ref="I18:J18"/>
    <mergeCell ref="C19:E19"/>
    <mergeCell ref="G19:H19"/>
    <mergeCell ref="I19:J19"/>
    <mergeCell ref="C16:E16"/>
    <mergeCell ref="G16:H16"/>
    <mergeCell ref="I16:J16"/>
    <mergeCell ref="C17:E17"/>
    <mergeCell ref="G17:H17"/>
    <mergeCell ref="I17:J17"/>
    <mergeCell ref="C14:E14"/>
    <mergeCell ref="G14:H14"/>
    <mergeCell ref="I14:J14"/>
    <mergeCell ref="C15:E15"/>
    <mergeCell ref="G15:H15"/>
    <mergeCell ref="I15:J15"/>
    <mergeCell ref="C12:E12"/>
    <mergeCell ref="G12:H12"/>
    <mergeCell ref="I12:J12"/>
    <mergeCell ref="C13:E13"/>
    <mergeCell ref="G13:H13"/>
    <mergeCell ref="I13:J13"/>
    <mergeCell ref="C10:E10"/>
    <mergeCell ref="G10:H10"/>
    <mergeCell ref="I10:J10"/>
    <mergeCell ref="C11:E11"/>
    <mergeCell ref="G11:H11"/>
    <mergeCell ref="I11:J11"/>
    <mergeCell ref="B5:K5"/>
    <mergeCell ref="B6:K6"/>
    <mergeCell ref="B7:K7"/>
    <mergeCell ref="A8:K8"/>
    <mergeCell ref="C9:E9"/>
    <mergeCell ref="G9:H9"/>
    <mergeCell ref="I9:J9"/>
    <mergeCell ref="A5:A6"/>
    <mergeCell ref="A9:A11"/>
    <mergeCell ref="K9:K11"/>
    <mergeCell ref="A1:K1"/>
    <mergeCell ref="A2:K2"/>
    <mergeCell ref="B3:K3"/>
    <mergeCell ref="B4:D4"/>
    <mergeCell ref="E4:F4"/>
    <mergeCell ref="G4:I4"/>
    <mergeCell ref="J4:K4"/>
    <mergeCell ref="A3:A4"/>
  </mergeCells>
  <dataValidations count="2">
    <dataValidation type="decimal" operator="greaterThan" allowBlank="1" showInputMessage="1" showErrorMessage="1" errorTitle="Некорректный ввод данных." error="Страховая сумма должна иметь числовое значение и не может быть меньше или равна 0." sqref="E4:F4 I10:I27" xr:uid="{00000000-0002-0000-0100-000000000000}">
      <formula1>0</formula1>
    </dataValidation>
    <dataValidation type="decimal" operator="greaterThanOrEqual" allowBlank="1" showInputMessage="1" showErrorMessage="1" errorTitle="Некорректный ввод данных." error="Страховая стоимость должна иметь числовое значение и не может быть меньше страховой суммы" sqref="J4:K4" xr:uid="{00000000-0002-0000-0100-000001000000}">
      <formula1>E4</formula1>
    </dataValidation>
  </dataValidations>
  <pageMargins left="0.70866141732283505" right="0.70866141732283505" top="0.74803149606299202" bottom="0.74803149606299202" header="0.31496062992126" footer="0.31496062992126"/>
  <pageSetup paperSize="9" scale="71" orientation="portrait" blackAndWhite="1" r:id="rId1"/>
  <headerFooter>
    <oddFooter>&amp;RПодпись:  __________________ М.П.            
/___________________________ /  (Ф.И.О. должность)</oddFooter>
  </headerFooter>
  <colBreaks count="1" manualBreakCount="1">
    <brk id="11" max="12" man="1"/>
  </colBreaks>
  <drawing r:id="rId2"/>
  <legacyDrawing r:id="rId3"/>
  <mc:AlternateContent xmlns:mc="http://schemas.openxmlformats.org/markup-compatibility/2006">
    <mc:Choice Requires="x14">
      <controls>
        <mc:AlternateContent xmlns:mc="http://schemas.openxmlformats.org/markup-compatibility/2006">
          <mc:Choice Requires="x14">
            <control shapeId="2052" r:id="rId4" name="Check Box 4">
              <controlPr defaultSize="0" autoPict="0" altText="Непредвиденные поломки или дефекты застрахованных предметов">
                <anchor moveWithCells="1">
                  <from>
                    <xdr:col>1</xdr:col>
                    <xdr:colOff>28575</xdr:colOff>
                    <xdr:row>5</xdr:row>
                    <xdr:rowOff>76200</xdr:rowOff>
                  </from>
                  <to>
                    <xdr:col>10</xdr:col>
                    <xdr:colOff>666750</xdr:colOff>
                    <xdr:row>5</xdr:row>
                    <xdr:rowOff>276225</xdr:rowOff>
                  </to>
                </anchor>
              </controlPr>
            </control>
          </mc:Choice>
        </mc:AlternateContent>
        <mc:AlternateContent xmlns:mc="http://schemas.openxmlformats.org/markup-compatibility/2006">
          <mc:Choice Requires="x14">
            <control shapeId="2054" r:id="rId5" name="Check Box 6">
              <controlPr defaultSize="0" autoPict="0">
                <anchor moveWithCells="1">
                  <from>
                    <xdr:col>1</xdr:col>
                    <xdr:colOff>38100</xdr:colOff>
                    <xdr:row>5</xdr:row>
                    <xdr:rowOff>2676525</xdr:rowOff>
                  </from>
                  <to>
                    <xdr:col>10</xdr:col>
                    <xdr:colOff>676275</xdr:colOff>
                    <xdr:row>5</xdr:row>
                    <xdr:rowOff>2933700</xdr:rowOff>
                  </to>
                </anchor>
              </controlPr>
            </control>
          </mc:Choice>
        </mc:AlternateContent>
        <mc:AlternateContent xmlns:mc="http://schemas.openxmlformats.org/markup-compatibility/2006">
          <mc:Choice Requires="x14">
            <control shapeId="2055" r:id="rId6" name="Check Box 7">
              <controlPr defaultSize="0" autoPict="0">
                <anchor moveWithCells="1">
                  <from>
                    <xdr:col>1</xdr:col>
                    <xdr:colOff>38100</xdr:colOff>
                    <xdr:row>5</xdr:row>
                    <xdr:rowOff>914400</xdr:rowOff>
                  </from>
                  <to>
                    <xdr:col>10</xdr:col>
                    <xdr:colOff>676275</xdr:colOff>
                    <xdr:row>5</xdr:row>
                    <xdr:rowOff>1409700</xdr:rowOff>
                  </to>
                </anchor>
              </controlPr>
            </control>
          </mc:Choice>
        </mc:AlternateContent>
        <mc:AlternateContent xmlns:mc="http://schemas.openxmlformats.org/markup-compatibility/2006">
          <mc:Choice Requires="x14">
            <control shapeId="2056" r:id="rId7" name="Check Box 8">
              <controlPr defaultSize="0" autoPict="0" altText="Кража с незаконным проникновением, грабеж, разбой">
                <anchor moveWithCells="1">
                  <from>
                    <xdr:col>1</xdr:col>
                    <xdr:colOff>28575</xdr:colOff>
                    <xdr:row>5</xdr:row>
                    <xdr:rowOff>552450</xdr:rowOff>
                  </from>
                  <to>
                    <xdr:col>10</xdr:col>
                    <xdr:colOff>666750</xdr:colOff>
                    <xdr:row>5</xdr:row>
                    <xdr:rowOff>914400</xdr:rowOff>
                  </to>
                </anchor>
              </controlPr>
            </control>
          </mc:Choice>
        </mc:AlternateContent>
        <mc:AlternateContent xmlns:mc="http://schemas.openxmlformats.org/markup-compatibility/2006">
          <mc:Choice Requires="x14">
            <control shapeId="2057" r:id="rId8" name="Check Box 9">
              <controlPr defaultSize="0" autoPict="0" altText="Воздействие электроэнергии в виде короткого замыкания, перегрузка электросети, падение напряжения, атмосферный разряд и др., включая ущерб от возникшего в результате этих явлений пожара, если ущерб причинен непосредственно тем предметам, в которых зародил">
                <anchor moveWithCells="1">
                  <from>
                    <xdr:col>1</xdr:col>
                    <xdr:colOff>38100</xdr:colOff>
                    <xdr:row>5</xdr:row>
                    <xdr:rowOff>1400175</xdr:rowOff>
                  </from>
                  <to>
                    <xdr:col>10</xdr:col>
                    <xdr:colOff>504825</xdr:colOff>
                    <xdr:row>5</xdr:row>
                    <xdr:rowOff>1847850</xdr:rowOff>
                  </to>
                </anchor>
              </controlPr>
            </control>
          </mc:Choice>
        </mc:AlternateContent>
        <mc:AlternateContent xmlns:mc="http://schemas.openxmlformats.org/markup-compatibility/2006">
          <mc:Choice Requires="x14">
            <control shapeId="2059" r:id="rId9" name="Check Box 11">
              <controlPr defaultSize="0" autoPict="0">
                <anchor moveWithCells="1">
                  <from>
                    <xdr:col>1</xdr:col>
                    <xdr:colOff>38100</xdr:colOff>
                    <xdr:row>5</xdr:row>
                    <xdr:rowOff>2219325</xdr:rowOff>
                  </from>
                  <to>
                    <xdr:col>10</xdr:col>
                    <xdr:colOff>676275</xdr:colOff>
                    <xdr:row>5</xdr:row>
                    <xdr:rowOff>2419350</xdr:rowOff>
                  </to>
                </anchor>
              </controlPr>
            </control>
          </mc:Choice>
        </mc:AlternateContent>
        <mc:AlternateContent xmlns:mc="http://schemas.openxmlformats.org/markup-compatibility/2006">
          <mc:Choice Requires="x14">
            <control shapeId="2127" r:id="rId10" name="Check Box 79">
              <controlPr defaultSize="0" autoPict="0">
                <anchor moveWithCells="1">
                  <from>
                    <xdr:col>1</xdr:col>
                    <xdr:colOff>38100</xdr:colOff>
                    <xdr:row>5</xdr:row>
                    <xdr:rowOff>2905125</xdr:rowOff>
                  </from>
                  <to>
                    <xdr:col>10</xdr:col>
                    <xdr:colOff>676275</xdr:colOff>
                    <xdr:row>5</xdr:row>
                    <xdr:rowOff>3152775</xdr:rowOff>
                  </to>
                </anchor>
              </controlPr>
            </control>
          </mc:Choice>
        </mc:AlternateContent>
        <mc:AlternateContent xmlns:mc="http://schemas.openxmlformats.org/markup-compatibility/2006">
          <mc:Choice Requires="x14">
            <control shapeId="2053" r:id="rId11" name="Check Box 5">
              <controlPr defaultSize="0" autoPict="0" altText="Ошибки или неосторожность персонала Страхователя или третьих лиц">
                <anchor moveWithCells="1">
                  <from>
                    <xdr:col>1</xdr:col>
                    <xdr:colOff>38100</xdr:colOff>
                    <xdr:row>5</xdr:row>
                    <xdr:rowOff>1857375</xdr:rowOff>
                  </from>
                  <to>
                    <xdr:col>10</xdr:col>
                    <xdr:colOff>676275</xdr:colOff>
                    <xdr:row>5</xdr:row>
                    <xdr:rowOff>2190750</xdr:rowOff>
                  </to>
                </anchor>
              </controlPr>
            </control>
          </mc:Choice>
        </mc:AlternateContent>
        <mc:AlternateContent xmlns:mc="http://schemas.openxmlformats.org/markup-compatibility/2006">
          <mc:Choice Requires="x14">
            <control shapeId="2060" r:id="rId12" name="Check Box 10">
              <controlPr defaultSize="0" autoPict="0">
                <anchor moveWithCells="1">
                  <from>
                    <xdr:col>1</xdr:col>
                    <xdr:colOff>38100</xdr:colOff>
                    <xdr:row>5</xdr:row>
                    <xdr:rowOff>2457450</xdr:rowOff>
                  </from>
                  <to>
                    <xdr:col>10</xdr:col>
                    <xdr:colOff>676275</xdr:colOff>
                    <xdr:row>5</xdr:row>
                    <xdr:rowOff>2686050</xdr:rowOff>
                  </to>
                </anchor>
              </controlPr>
            </control>
          </mc:Choice>
        </mc:AlternateContent>
        <mc:AlternateContent xmlns:mc="http://schemas.openxmlformats.org/markup-compatibility/2006">
          <mc:Choice Requires="x14">
            <control shapeId="2128" r:id="rId13" name="Check Box 80">
              <controlPr defaultSize="0" autoPict="0" altText="Кража с незаконным проникновением, грабеж, разбой">
                <anchor moveWithCells="1">
                  <from>
                    <xdr:col>1</xdr:col>
                    <xdr:colOff>28575</xdr:colOff>
                    <xdr:row>5</xdr:row>
                    <xdr:rowOff>333375</xdr:rowOff>
                  </from>
                  <to>
                    <xdr:col>10</xdr:col>
                    <xdr:colOff>676275</xdr:colOff>
                    <xdr:row>5</xdr:row>
                    <xdr:rowOff>552450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whole" allowBlank="1" showInputMessage="1" showErrorMessage="1" errorTitle="Некорректный ввод данных." error="Используйте формат ГГГГ._x000a_Год не может быть больше текущего года." xr:uid="{00000000-0002-0000-0100-000002000000}">
          <x14:formula1>
            <xm:f>1500</xm:f>
          </x14:formula1>
          <x14:formula2>
            <xm:f>Export!G1</xm:f>
          </x14:formula2>
          <xm:sqref>F10:G27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dimension ref="A1:K18"/>
  <sheetViews>
    <sheetView view="pageBreakPreview" zoomScale="110" zoomScaleNormal="100" zoomScalePageLayoutView="70" workbookViewId="0">
      <pane ySplit="1" topLeftCell="A2" activePane="bottomLeft" state="frozen"/>
      <selection pane="bottomLeft" activeCell="J7" sqref="J7:K7"/>
    </sheetView>
  </sheetViews>
  <sheetFormatPr defaultColWidth="9.140625" defaultRowHeight="15"/>
  <cols>
    <col min="1" max="1" width="6.7109375" style="81" customWidth="1"/>
    <col min="2" max="11" width="10.7109375" style="71" customWidth="1"/>
    <col min="12" max="41" width="5.7109375" style="71" customWidth="1"/>
    <col min="42" max="16384" width="9.140625" style="71"/>
  </cols>
  <sheetData>
    <row r="1" spans="1:11" ht="35.1" customHeight="1">
      <c r="A1" s="452" t="s">
        <v>151</v>
      </c>
      <c r="B1" s="453"/>
      <c r="C1" s="453"/>
      <c r="D1" s="453"/>
      <c r="E1" s="453"/>
      <c r="F1" s="453"/>
      <c r="G1" s="453"/>
      <c r="H1" s="453"/>
      <c r="I1" s="453"/>
      <c r="J1" s="453"/>
      <c r="K1" s="454"/>
    </row>
    <row r="2" spans="1:11" ht="5.0999999999999996" customHeight="1">
      <c r="A2" s="455"/>
      <c r="B2" s="455"/>
      <c r="C2" s="455"/>
      <c r="D2" s="455"/>
      <c r="E2" s="455"/>
      <c r="F2" s="455"/>
      <c r="G2" s="455"/>
      <c r="H2" s="455"/>
      <c r="I2" s="455"/>
      <c r="J2" s="455"/>
      <c r="K2" s="455"/>
    </row>
    <row r="3" spans="1:11" ht="15" customHeight="1">
      <c r="A3" s="82" t="s">
        <v>152</v>
      </c>
      <c r="B3" s="465" t="s">
        <v>153</v>
      </c>
      <c r="C3" s="466"/>
      <c r="D3" s="466"/>
      <c r="E3" s="466"/>
      <c r="F3" s="466"/>
      <c r="G3" s="466"/>
      <c r="H3" s="466"/>
      <c r="I3" s="467"/>
      <c r="J3" s="500"/>
      <c r="K3" s="501"/>
    </row>
    <row r="4" spans="1:11" ht="15" customHeight="1">
      <c r="A4" s="496" t="s">
        <v>37</v>
      </c>
      <c r="B4" s="502" t="s">
        <v>154</v>
      </c>
      <c r="C4" s="502"/>
      <c r="D4" s="502"/>
      <c r="E4" s="502"/>
      <c r="F4" s="502"/>
      <c r="G4" s="502"/>
      <c r="H4" s="502"/>
      <c r="I4" s="502"/>
      <c r="J4" s="503" t="s">
        <v>64</v>
      </c>
      <c r="K4" s="504"/>
    </row>
    <row r="5" spans="1:11" ht="15" customHeight="1">
      <c r="A5" s="527"/>
      <c r="B5" s="505" t="s">
        <v>155</v>
      </c>
      <c r="C5" s="505"/>
      <c r="D5" s="505"/>
      <c r="E5" s="505"/>
      <c r="F5" s="505"/>
      <c r="G5" s="505"/>
      <c r="H5" s="505"/>
      <c r="I5" s="505"/>
      <c r="J5" s="506"/>
      <c r="K5" s="507"/>
    </row>
    <row r="6" spans="1:11" ht="15" customHeight="1">
      <c r="A6" s="527"/>
      <c r="B6" s="505" t="s">
        <v>156</v>
      </c>
      <c r="C6" s="505"/>
      <c r="D6" s="505"/>
      <c r="E6" s="505"/>
      <c r="F6" s="505"/>
      <c r="G6" s="505"/>
      <c r="H6" s="505"/>
      <c r="I6" s="505"/>
      <c r="J6" s="508"/>
      <c r="K6" s="509"/>
    </row>
    <row r="7" spans="1:11" ht="15" customHeight="1">
      <c r="A7" s="527"/>
      <c r="B7" s="505" t="s">
        <v>157</v>
      </c>
      <c r="C7" s="505"/>
      <c r="D7" s="505"/>
      <c r="E7" s="505"/>
      <c r="F7" s="505"/>
      <c r="G7" s="505"/>
      <c r="H7" s="505"/>
      <c r="I7" s="505"/>
      <c r="J7" s="508"/>
      <c r="K7" s="509"/>
    </row>
    <row r="8" spans="1:11" ht="30" customHeight="1">
      <c r="A8" s="527"/>
      <c r="B8" s="505" t="s">
        <v>158</v>
      </c>
      <c r="C8" s="505"/>
      <c r="D8" s="505"/>
      <c r="E8" s="505"/>
      <c r="F8" s="505"/>
      <c r="G8" s="505"/>
      <c r="H8" s="505"/>
      <c r="I8" s="505"/>
      <c r="J8" s="508"/>
      <c r="K8" s="509"/>
    </row>
    <row r="9" spans="1:11" ht="15" customHeight="1">
      <c r="A9" s="527"/>
      <c r="B9" s="505" t="s">
        <v>159</v>
      </c>
      <c r="C9" s="505"/>
      <c r="D9" s="505"/>
      <c r="E9" s="505"/>
      <c r="F9" s="505"/>
      <c r="G9" s="505"/>
      <c r="H9" s="505"/>
      <c r="I9" s="505"/>
      <c r="J9" s="508"/>
      <c r="K9" s="509"/>
    </row>
    <row r="10" spans="1:11" ht="15" customHeight="1">
      <c r="A10" s="527"/>
      <c r="B10" s="505" t="s">
        <v>160</v>
      </c>
      <c r="C10" s="505"/>
      <c r="D10" s="505"/>
      <c r="E10" s="505"/>
      <c r="F10" s="505"/>
      <c r="G10" s="505"/>
      <c r="H10" s="505"/>
      <c r="I10" s="505"/>
      <c r="J10" s="508"/>
      <c r="K10" s="509"/>
    </row>
    <row r="11" spans="1:11" ht="15" customHeight="1">
      <c r="A11" s="527"/>
      <c r="B11" s="505" t="s">
        <v>161</v>
      </c>
      <c r="C11" s="505"/>
      <c r="D11" s="505"/>
      <c r="E11" s="505"/>
      <c r="F11" s="505"/>
      <c r="G11" s="505"/>
      <c r="H11" s="505"/>
      <c r="I11" s="505"/>
      <c r="J11" s="508"/>
      <c r="K11" s="509"/>
    </row>
    <row r="12" spans="1:11" ht="15" customHeight="1">
      <c r="A12" s="527"/>
      <c r="B12" s="510" t="s">
        <v>162</v>
      </c>
      <c r="C12" s="510"/>
      <c r="D12" s="510"/>
      <c r="E12" s="510"/>
      <c r="F12" s="510"/>
      <c r="G12" s="510"/>
      <c r="H12" s="510"/>
      <c r="I12" s="510"/>
      <c r="J12" s="508"/>
      <c r="K12" s="509"/>
    </row>
    <row r="13" spans="1:11" ht="15" customHeight="1">
      <c r="A13" s="527"/>
      <c r="B13" s="511" t="s">
        <v>163</v>
      </c>
      <c r="C13" s="512"/>
      <c r="D13" s="512"/>
      <c r="E13" s="512"/>
      <c r="F13" s="512"/>
      <c r="G13" s="512"/>
      <c r="H13" s="512"/>
      <c r="I13" s="513"/>
      <c r="J13" s="508"/>
      <c r="K13" s="509"/>
    </row>
    <row r="14" spans="1:11" ht="15" customHeight="1">
      <c r="A14" s="527"/>
      <c r="B14" s="514" t="s">
        <v>164</v>
      </c>
      <c r="C14" s="515"/>
      <c r="D14" s="515"/>
      <c r="E14" s="515"/>
      <c r="F14" s="515"/>
      <c r="G14" s="515"/>
      <c r="H14" s="515"/>
      <c r="I14" s="516"/>
      <c r="J14" s="517"/>
      <c r="K14" s="518"/>
    </row>
    <row r="15" spans="1:11" ht="15" customHeight="1">
      <c r="A15" s="497"/>
      <c r="B15" s="519" t="s">
        <v>70</v>
      </c>
      <c r="C15" s="520"/>
      <c r="D15" s="520"/>
      <c r="E15" s="520"/>
      <c r="F15" s="520"/>
      <c r="G15" s="520"/>
      <c r="H15" s="520"/>
      <c r="I15" s="521"/>
      <c r="J15" s="522">
        <f>J5+J6+J7+J8+J9+J10+J11+J12+J13+J14</f>
        <v>0</v>
      </c>
      <c r="K15" s="523"/>
    </row>
    <row r="16" spans="1:11">
      <c r="A16" s="495" t="s">
        <v>87</v>
      </c>
      <c r="B16" s="466" t="s">
        <v>165</v>
      </c>
      <c r="C16" s="466"/>
      <c r="D16" s="466"/>
      <c r="E16" s="466"/>
      <c r="F16" s="466"/>
      <c r="G16" s="466"/>
      <c r="H16" s="466"/>
      <c r="I16" s="466"/>
      <c r="J16" s="466"/>
      <c r="K16" s="467"/>
    </row>
    <row r="17" spans="1:11" ht="140.25" customHeight="1">
      <c r="A17" s="495"/>
      <c r="B17" s="524"/>
      <c r="C17" s="524"/>
      <c r="D17" s="524"/>
      <c r="E17" s="524"/>
      <c r="F17" s="524"/>
      <c r="G17" s="524"/>
      <c r="H17" s="524"/>
      <c r="I17" s="524"/>
      <c r="J17" s="524"/>
      <c r="K17" s="525"/>
    </row>
    <row r="18" spans="1:11">
      <c r="A18" s="526"/>
      <c r="B18" s="526"/>
      <c r="C18" s="526"/>
      <c r="D18" s="526"/>
      <c r="E18" s="526"/>
      <c r="F18" s="526"/>
      <c r="G18" s="526"/>
      <c r="H18" s="526"/>
      <c r="I18" s="526"/>
      <c r="J18" s="526"/>
      <c r="K18" s="526"/>
    </row>
  </sheetData>
  <sheetProtection password="CF4A" sheet="1" formatRows="0" selectLockedCells="1"/>
  <mergeCells count="33">
    <mergeCell ref="B17:K17"/>
    <mergeCell ref="A18:K18"/>
    <mergeCell ref="A4:A15"/>
    <mergeCell ref="A16:A17"/>
    <mergeCell ref="B14:I14"/>
    <mergeCell ref="J14:K14"/>
    <mergeCell ref="B15:I15"/>
    <mergeCell ref="J15:K15"/>
    <mergeCell ref="B16:K16"/>
    <mergeCell ref="B11:I11"/>
    <mergeCell ref="J11:K11"/>
    <mergeCell ref="B12:I12"/>
    <mergeCell ref="J12:K12"/>
    <mergeCell ref="B13:I13"/>
    <mergeCell ref="J13:K13"/>
    <mergeCell ref="B8:I8"/>
    <mergeCell ref="J8:K8"/>
    <mergeCell ref="B9:I9"/>
    <mergeCell ref="J9:K9"/>
    <mergeCell ref="B10:I10"/>
    <mergeCell ref="J10:K10"/>
    <mergeCell ref="B5:I5"/>
    <mergeCell ref="J5:K5"/>
    <mergeCell ref="B6:I6"/>
    <mergeCell ref="J6:K6"/>
    <mergeCell ref="B7:I7"/>
    <mergeCell ref="J7:K7"/>
    <mergeCell ref="A1:K1"/>
    <mergeCell ref="A2:K2"/>
    <mergeCell ref="B3:I3"/>
    <mergeCell ref="J3:K3"/>
    <mergeCell ref="B4:I4"/>
    <mergeCell ref="J4:K4"/>
  </mergeCells>
  <dataValidations count="3">
    <dataValidation type="whole" operator="greaterThan" allowBlank="1" showInputMessage="1" showErrorMessage="1" errorTitle="Некорректный ввод данных." error="Период возмещения должен иметь числовое значение и не может быть меньше или равен 0." sqref="J3:K3" xr:uid="{00000000-0002-0000-0200-000000000000}">
      <formula1>0</formula1>
    </dataValidation>
    <dataValidation type="decimal" errorStyle="information" operator="greaterThanOrEqual" allowBlank="1" showInputMessage="1" showErrorMessage="1" error="Страховая сумма не может быть меньше или равна нулю. " sqref="J15" xr:uid="{00000000-0002-0000-0200-000001000000}">
      <formula1>0</formula1>
    </dataValidation>
    <dataValidation type="decimal" operator="greaterThan" allowBlank="1" showInputMessage="1" showErrorMessage="1" errorTitle="Некорректный ввод данных." error="Страховая сумма должна иметь числовое значение и не может быть меньше или равна 0." sqref="J5:K14" xr:uid="{00000000-0002-0000-0200-000002000000}">
      <formula1>0</formula1>
    </dataValidation>
  </dataValidations>
  <pageMargins left="0.70866141732283505" right="0.70866141732283505" top="0.74803149606299202" bottom="0.74803149606299202" header="0.31496062992126" footer="0.31496062992126"/>
  <pageSetup paperSize="9" scale="75" orientation="portrait" blackAndWhite="1" r:id="rId1"/>
  <headerFooter>
    <oddFooter>&amp;RПодпись:  __________________ М.П.            
/___________________________ /  (Ф.И.О. должность)</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231" r:id="rId4" name="Check Box 15">
              <controlPr defaultSize="0" autoPict="0">
                <anchor moveWithCells="1">
                  <from>
                    <xdr:col>1</xdr:col>
                    <xdr:colOff>38100</xdr:colOff>
                    <xdr:row>16</xdr:row>
                    <xdr:rowOff>28575</xdr:rowOff>
                  </from>
                  <to>
                    <xdr:col>10</xdr:col>
                    <xdr:colOff>685800</xdr:colOff>
                    <xdr:row>16</xdr:row>
                    <xdr:rowOff>533400</xdr:rowOff>
                  </to>
                </anchor>
              </controlPr>
            </control>
          </mc:Choice>
        </mc:AlternateContent>
        <mc:AlternateContent xmlns:mc="http://schemas.openxmlformats.org/markup-compatibility/2006">
          <mc:Choice Requires="x14">
            <control shapeId="9237" r:id="rId5" name="Check Box 21">
              <controlPr defaultSize="0" autoPict="0">
                <anchor moveWithCells="1">
                  <from>
                    <xdr:col>1</xdr:col>
                    <xdr:colOff>38100</xdr:colOff>
                    <xdr:row>16</xdr:row>
                    <xdr:rowOff>533400</xdr:rowOff>
                  </from>
                  <to>
                    <xdr:col>10</xdr:col>
                    <xdr:colOff>685800</xdr:colOff>
                    <xdr:row>16</xdr:row>
                    <xdr:rowOff>1009650</xdr:rowOff>
                  </to>
                </anchor>
              </controlPr>
            </control>
          </mc:Choice>
        </mc:AlternateContent>
        <mc:AlternateContent xmlns:mc="http://schemas.openxmlformats.org/markup-compatibility/2006">
          <mc:Choice Requires="x14">
            <control shapeId="9238" r:id="rId6" name="Check Box 22">
              <controlPr defaultSize="0" autoPict="0" altText="Убытки от перерыва в производственной (хозяйственной) деятельности Страхователя, вызванные невозможностью доступа к предприятию Страхователя/ выхода из предприятия Страхователя вследствие внезапных и непредвиденных воздействий извне">
                <anchor moveWithCells="1">
                  <from>
                    <xdr:col>1</xdr:col>
                    <xdr:colOff>38100</xdr:colOff>
                    <xdr:row>16</xdr:row>
                    <xdr:rowOff>1019175</xdr:rowOff>
                  </from>
                  <to>
                    <xdr:col>10</xdr:col>
                    <xdr:colOff>685800</xdr:colOff>
                    <xdr:row>16</xdr:row>
                    <xdr:rowOff>1390650</xdr:rowOff>
                  </to>
                </anchor>
              </controlPr>
            </control>
          </mc:Choice>
        </mc:AlternateContent>
        <mc:AlternateContent xmlns:mc="http://schemas.openxmlformats.org/markup-compatibility/2006">
          <mc:Choice Requires="x14">
            <control shapeId="9239" r:id="rId7" name="Check Box 23">
              <controlPr defaultSize="0" autoPict="0">
                <anchor moveWithCells="1">
                  <from>
                    <xdr:col>1</xdr:col>
                    <xdr:colOff>38100</xdr:colOff>
                    <xdr:row>16</xdr:row>
                    <xdr:rowOff>1409700</xdr:rowOff>
                  </from>
                  <to>
                    <xdr:col>10</xdr:col>
                    <xdr:colOff>685800</xdr:colOff>
                    <xdr:row>16</xdr:row>
                    <xdr:rowOff>1762125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4"/>
  <dimension ref="A1:K40"/>
  <sheetViews>
    <sheetView view="pageBreakPreview" zoomScaleNormal="100" workbookViewId="0">
      <pane ySplit="1" topLeftCell="A2" activePane="bottomLeft" state="frozen"/>
      <selection pane="bottomLeft" sqref="A1:K1"/>
    </sheetView>
  </sheetViews>
  <sheetFormatPr defaultColWidth="9.140625" defaultRowHeight="15"/>
  <cols>
    <col min="1" max="1" width="6.7109375" style="71" customWidth="1"/>
    <col min="2" max="11" width="10.7109375" style="71" customWidth="1"/>
    <col min="12" max="49" width="5.7109375" style="71" customWidth="1"/>
    <col min="50" max="16384" width="9.140625" style="71"/>
  </cols>
  <sheetData>
    <row r="1" spans="1:11" ht="35.1" customHeight="1">
      <c r="A1" s="452" t="s">
        <v>166</v>
      </c>
      <c r="B1" s="453"/>
      <c r="C1" s="453"/>
      <c r="D1" s="453"/>
      <c r="E1" s="453"/>
      <c r="F1" s="453"/>
      <c r="G1" s="453"/>
      <c r="H1" s="453"/>
      <c r="I1" s="453"/>
      <c r="J1" s="453"/>
      <c r="K1" s="454"/>
    </row>
    <row r="2" spans="1:11" ht="5.0999999999999996" customHeight="1">
      <c r="A2" s="455"/>
      <c r="B2" s="455"/>
      <c r="C2" s="455"/>
      <c r="D2" s="455"/>
      <c r="E2" s="455"/>
      <c r="F2" s="455"/>
      <c r="G2" s="455"/>
      <c r="H2" s="455"/>
      <c r="I2" s="455"/>
      <c r="J2" s="455"/>
      <c r="K2" s="455"/>
    </row>
    <row r="3" spans="1:11" ht="30" customHeight="1">
      <c r="A3" s="495" t="s">
        <v>141</v>
      </c>
      <c r="B3" s="528" t="s">
        <v>167</v>
      </c>
      <c r="C3" s="529"/>
      <c r="D3" s="529"/>
      <c r="E3" s="529"/>
      <c r="F3" s="529"/>
      <c r="G3" s="529"/>
      <c r="H3" s="529"/>
      <c r="I3" s="529"/>
      <c r="J3" s="529"/>
      <c r="K3" s="530"/>
    </row>
    <row r="4" spans="1:11" ht="15" customHeight="1">
      <c r="A4" s="495"/>
      <c r="B4" s="531" t="s">
        <v>64</v>
      </c>
      <c r="C4" s="531"/>
      <c r="D4" s="531"/>
      <c r="E4" s="532"/>
      <c r="F4" s="533"/>
      <c r="G4" s="528" t="s">
        <v>54</v>
      </c>
      <c r="H4" s="529"/>
      <c r="I4" s="530"/>
      <c r="J4" s="532"/>
      <c r="K4" s="533"/>
    </row>
    <row r="5" spans="1:11">
      <c r="A5" s="495" t="s">
        <v>37</v>
      </c>
      <c r="B5" s="534" t="s">
        <v>143</v>
      </c>
      <c r="C5" s="535"/>
      <c r="D5" s="535"/>
      <c r="E5" s="535"/>
      <c r="F5" s="535"/>
      <c r="G5" s="535"/>
      <c r="H5" s="535"/>
      <c r="I5" s="535"/>
      <c r="J5" s="535"/>
      <c r="K5" s="536"/>
    </row>
    <row r="6" spans="1:11" ht="105" customHeight="1">
      <c r="A6" s="495"/>
      <c r="B6" s="537"/>
      <c r="C6" s="537"/>
      <c r="D6" s="537"/>
      <c r="E6" s="537"/>
      <c r="F6" s="537"/>
      <c r="G6" s="537"/>
      <c r="H6" s="537"/>
      <c r="I6" s="537"/>
      <c r="J6" s="537"/>
      <c r="K6" s="537"/>
    </row>
    <row r="7" spans="1:11" ht="16.5" customHeight="1">
      <c r="A7" s="73" t="s">
        <v>87</v>
      </c>
      <c r="B7" s="531" t="s">
        <v>168</v>
      </c>
      <c r="C7" s="531"/>
      <c r="D7" s="531"/>
      <c r="E7" s="531"/>
      <c r="F7" s="531"/>
      <c r="G7" s="531"/>
      <c r="H7" s="531"/>
      <c r="I7" s="531"/>
      <c r="J7" s="531"/>
      <c r="K7" s="531"/>
    </row>
    <row r="8" spans="1:11" ht="5.0999999999999996" customHeight="1">
      <c r="A8" s="472"/>
      <c r="B8" s="472"/>
      <c r="C8" s="472"/>
      <c r="D8" s="472"/>
      <c r="E8" s="472"/>
      <c r="F8" s="472"/>
      <c r="G8" s="472"/>
      <c r="H8" s="472"/>
      <c r="I8" s="472"/>
      <c r="J8" s="472"/>
      <c r="K8" s="472"/>
    </row>
    <row r="9" spans="1:11" ht="35.1" customHeight="1">
      <c r="A9" s="498"/>
      <c r="B9" s="74" t="s">
        <v>145</v>
      </c>
      <c r="C9" s="473" t="s">
        <v>146</v>
      </c>
      <c r="D9" s="473"/>
      <c r="E9" s="473"/>
      <c r="F9" s="75" t="s">
        <v>147</v>
      </c>
      <c r="G9" s="473" t="s">
        <v>148</v>
      </c>
      <c r="H9" s="474"/>
      <c r="I9" s="473" t="s">
        <v>149</v>
      </c>
      <c r="J9" s="473"/>
      <c r="K9" s="499"/>
    </row>
    <row r="10" spans="1:11">
      <c r="A10" s="498"/>
      <c r="B10" s="76">
        <v>1</v>
      </c>
      <c r="C10" s="538"/>
      <c r="D10" s="539"/>
      <c r="E10" s="540"/>
      <c r="F10" s="77"/>
      <c r="G10" s="541"/>
      <c r="H10" s="542"/>
      <c r="I10" s="543"/>
      <c r="J10" s="544"/>
      <c r="K10" s="499"/>
    </row>
    <row r="11" spans="1:11">
      <c r="A11" s="498"/>
      <c r="B11" s="78" t="s">
        <v>150</v>
      </c>
      <c r="C11" s="545"/>
      <c r="D11" s="546"/>
      <c r="E11" s="547"/>
      <c r="F11" s="79"/>
      <c r="G11" s="548"/>
      <c r="H11" s="549"/>
      <c r="I11" s="550"/>
      <c r="J11" s="551"/>
      <c r="K11" s="499"/>
    </row>
    <row r="12" spans="1:11">
      <c r="A12" s="472"/>
      <c r="B12" s="472"/>
      <c r="C12" s="472"/>
      <c r="D12" s="472"/>
      <c r="E12" s="472"/>
      <c r="F12" s="472"/>
      <c r="G12" s="472"/>
      <c r="H12" s="472"/>
      <c r="I12" s="472"/>
      <c r="J12" s="472"/>
      <c r="K12" s="472"/>
    </row>
    <row r="13" spans="1:11">
      <c r="A13" s="80"/>
      <c r="B13" s="80"/>
      <c r="C13" s="80"/>
      <c r="D13" s="80"/>
      <c r="E13" s="80"/>
      <c r="F13" s="80"/>
      <c r="G13" s="80"/>
      <c r="H13" s="80"/>
      <c r="I13" s="80"/>
      <c r="J13" s="80"/>
      <c r="K13" s="80"/>
    </row>
    <row r="14" spans="1:11">
      <c r="A14" s="80"/>
      <c r="B14" s="80"/>
      <c r="C14" s="80"/>
      <c r="D14" s="80"/>
      <c r="E14" s="80"/>
      <c r="F14" s="80"/>
      <c r="G14" s="80"/>
      <c r="H14" s="80"/>
      <c r="I14" s="80"/>
      <c r="J14" s="80"/>
      <c r="K14" s="80"/>
    </row>
    <row r="15" spans="1:11">
      <c r="A15" s="80"/>
      <c r="B15" s="80"/>
      <c r="C15" s="80"/>
      <c r="D15" s="80"/>
      <c r="E15" s="80"/>
      <c r="F15" s="80"/>
      <c r="G15" s="80"/>
      <c r="H15" s="80"/>
      <c r="I15" s="80"/>
      <c r="J15" s="80"/>
      <c r="K15" s="80"/>
    </row>
    <row r="16" spans="1:11">
      <c r="A16" s="80"/>
      <c r="B16" s="80"/>
      <c r="C16" s="80"/>
      <c r="D16" s="80"/>
      <c r="E16" s="80"/>
      <c r="F16" s="80"/>
      <c r="G16" s="80"/>
      <c r="H16" s="80"/>
      <c r="I16" s="80"/>
      <c r="J16" s="80"/>
      <c r="K16" s="80"/>
    </row>
    <row r="17" spans="1:11">
      <c r="A17" s="80"/>
      <c r="B17" s="80"/>
      <c r="C17" s="80"/>
      <c r="D17" s="80"/>
      <c r="E17" s="80"/>
      <c r="F17" s="80"/>
      <c r="G17" s="80"/>
      <c r="H17" s="80"/>
      <c r="I17" s="80"/>
      <c r="J17" s="80"/>
      <c r="K17" s="80"/>
    </row>
    <row r="18" spans="1:11">
      <c r="A18" s="80"/>
      <c r="B18" s="80"/>
      <c r="C18" s="80"/>
      <c r="D18" s="80"/>
      <c r="E18" s="80"/>
      <c r="F18" s="80"/>
      <c r="G18" s="80"/>
      <c r="H18" s="80"/>
      <c r="I18" s="80"/>
      <c r="J18" s="80"/>
      <c r="K18" s="80"/>
    </row>
    <row r="19" spans="1:11">
      <c r="A19" s="80"/>
      <c r="B19" s="80"/>
      <c r="C19" s="80"/>
      <c r="D19" s="80"/>
      <c r="E19" s="80"/>
      <c r="F19" s="80"/>
      <c r="G19" s="80"/>
      <c r="H19" s="80"/>
      <c r="I19" s="80"/>
      <c r="J19" s="80"/>
      <c r="K19" s="80"/>
    </row>
    <row r="20" spans="1:11">
      <c r="A20" s="80"/>
      <c r="B20" s="80"/>
      <c r="C20" s="80"/>
      <c r="D20" s="80"/>
      <c r="E20" s="80"/>
      <c r="F20" s="80"/>
      <c r="G20" s="80"/>
      <c r="H20" s="80"/>
      <c r="I20" s="80"/>
      <c r="J20" s="80"/>
      <c r="K20" s="80"/>
    </row>
    <row r="21" spans="1:11">
      <c r="A21" s="80"/>
      <c r="B21" s="80"/>
      <c r="C21" s="80"/>
      <c r="D21" s="80"/>
      <c r="E21" s="80"/>
      <c r="F21" s="80"/>
      <c r="G21" s="80"/>
      <c r="H21" s="80"/>
      <c r="I21" s="80"/>
      <c r="J21" s="80"/>
      <c r="K21" s="80"/>
    </row>
    <row r="22" spans="1:11">
      <c r="A22" s="80"/>
      <c r="B22" s="80"/>
      <c r="C22" s="80"/>
      <c r="D22" s="80"/>
      <c r="E22" s="80"/>
      <c r="F22" s="80"/>
      <c r="G22" s="80"/>
      <c r="H22" s="80"/>
      <c r="I22" s="80"/>
      <c r="J22" s="80"/>
      <c r="K22" s="80"/>
    </row>
    <row r="23" spans="1:11">
      <c r="A23" s="80"/>
      <c r="B23" s="80"/>
      <c r="C23" s="80"/>
      <c r="D23" s="80"/>
      <c r="E23" s="80"/>
      <c r="F23" s="80"/>
      <c r="G23" s="80"/>
      <c r="H23" s="80"/>
      <c r="I23" s="80"/>
      <c r="J23" s="80"/>
      <c r="K23" s="80"/>
    </row>
    <row r="24" spans="1:11">
      <c r="A24" s="80"/>
      <c r="B24" s="80"/>
      <c r="C24" s="80"/>
      <c r="D24" s="80"/>
      <c r="E24" s="80"/>
      <c r="F24" s="80"/>
      <c r="G24" s="80"/>
      <c r="H24" s="80"/>
      <c r="I24" s="80"/>
      <c r="J24" s="80"/>
      <c r="K24" s="80"/>
    </row>
    <row r="25" spans="1:11">
      <c r="A25" s="80"/>
      <c r="B25" s="80"/>
      <c r="C25" s="80"/>
      <c r="D25" s="80"/>
      <c r="E25" s="80"/>
      <c r="F25" s="80"/>
      <c r="G25" s="80"/>
      <c r="H25" s="80"/>
      <c r="I25" s="80"/>
      <c r="J25" s="80"/>
      <c r="K25" s="80"/>
    </row>
    <row r="26" spans="1:11">
      <c r="A26" s="80"/>
      <c r="B26" s="80"/>
      <c r="C26" s="80"/>
      <c r="D26" s="80"/>
      <c r="E26" s="80"/>
      <c r="F26" s="80"/>
      <c r="G26" s="80"/>
      <c r="H26" s="80"/>
      <c r="I26" s="80"/>
      <c r="J26" s="80"/>
      <c r="K26" s="80"/>
    </row>
    <row r="27" spans="1:11">
      <c r="A27" s="80"/>
      <c r="B27" s="80"/>
      <c r="C27" s="80"/>
      <c r="D27" s="80"/>
      <c r="E27" s="80"/>
      <c r="F27" s="80"/>
      <c r="G27" s="80"/>
      <c r="H27" s="80"/>
      <c r="I27" s="80"/>
      <c r="J27" s="80"/>
      <c r="K27" s="80"/>
    </row>
    <row r="28" spans="1:11">
      <c r="A28" s="80"/>
      <c r="B28" s="80"/>
      <c r="C28" s="80"/>
      <c r="D28" s="80"/>
      <c r="E28" s="80"/>
      <c r="F28" s="80"/>
      <c r="G28" s="80"/>
      <c r="H28" s="80"/>
      <c r="I28" s="80"/>
      <c r="J28" s="80"/>
      <c r="K28" s="80"/>
    </row>
    <row r="29" spans="1:11">
      <c r="A29" s="80"/>
      <c r="B29" s="80"/>
      <c r="C29" s="80"/>
      <c r="D29" s="80"/>
      <c r="E29" s="80"/>
      <c r="F29" s="80"/>
      <c r="G29" s="80"/>
      <c r="H29" s="80"/>
      <c r="I29" s="80"/>
      <c r="J29" s="80"/>
      <c r="K29" s="80"/>
    </row>
    <row r="30" spans="1:11">
      <c r="A30" s="80"/>
      <c r="B30" s="80"/>
      <c r="C30" s="80"/>
      <c r="D30" s="80"/>
      <c r="E30" s="80"/>
      <c r="F30" s="80"/>
      <c r="G30" s="80"/>
      <c r="H30" s="80"/>
      <c r="I30" s="80"/>
      <c r="J30" s="80"/>
      <c r="K30" s="80"/>
    </row>
    <row r="31" spans="1:11">
      <c r="A31" s="80"/>
      <c r="B31" s="80"/>
      <c r="C31" s="80"/>
      <c r="D31" s="80"/>
      <c r="E31" s="80"/>
      <c r="F31" s="80"/>
      <c r="G31" s="80"/>
      <c r="H31" s="80"/>
      <c r="I31" s="80"/>
      <c r="J31" s="80"/>
      <c r="K31" s="80"/>
    </row>
    <row r="32" spans="1:11">
      <c r="A32" s="80"/>
      <c r="B32" s="80"/>
      <c r="C32" s="80"/>
      <c r="D32" s="80"/>
      <c r="E32" s="80"/>
      <c r="F32" s="80"/>
      <c r="G32" s="80"/>
      <c r="H32" s="80"/>
      <c r="I32" s="80"/>
      <c r="J32" s="80"/>
      <c r="K32" s="80"/>
    </row>
    <row r="33" spans="1:11">
      <c r="A33" s="80"/>
      <c r="B33" s="80"/>
      <c r="C33" s="80"/>
      <c r="D33" s="80"/>
      <c r="E33" s="80"/>
      <c r="F33" s="80"/>
      <c r="G33" s="80"/>
      <c r="H33" s="80"/>
      <c r="I33" s="80"/>
      <c r="J33" s="80"/>
      <c r="K33" s="80"/>
    </row>
    <row r="34" spans="1:11">
      <c r="A34" s="80"/>
      <c r="B34" s="80"/>
      <c r="C34" s="80"/>
      <c r="D34" s="80"/>
      <c r="E34" s="80"/>
      <c r="F34" s="80"/>
      <c r="G34" s="80"/>
      <c r="H34" s="80"/>
      <c r="I34" s="80"/>
      <c r="J34" s="80"/>
      <c r="K34" s="80"/>
    </row>
    <row r="35" spans="1:11">
      <c r="A35" s="80"/>
      <c r="B35" s="80"/>
      <c r="C35" s="80"/>
      <c r="D35" s="80"/>
      <c r="E35" s="80"/>
      <c r="F35" s="80"/>
      <c r="G35" s="80"/>
      <c r="H35" s="80"/>
      <c r="I35" s="80"/>
      <c r="J35" s="80"/>
      <c r="K35" s="80"/>
    </row>
    <row r="36" spans="1:11">
      <c r="A36" s="80"/>
      <c r="B36" s="80"/>
      <c r="C36" s="80"/>
      <c r="D36" s="80"/>
      <c r="E36" s="80"/>
      <c r="F36" s="80"/>
      <c r="G36" s="80"/>
      <c r="H36" s="80"/>
      <c r="I36" s="80"/>
      <c r="J36" s="80"/>
      <c r="K36" s="80"/>
    </row>
    <row r="37" spans="1:11">
      <c r="A37" s="80"/>
      <c r="B37" s="80"/>
      <c r="C37" s="80"/>
      <c r="D37" s="80"/>
      <c r="E37" s="80"/>
      <c r="F37" s="80"/>
      <c r="G37" s="80"/>
      <c r="H37" s="80"/>
      <c r="I37" s="80"/>
      <c r="J37" s="80"/>
      <c r="K37" s="80"/>
    </row>
    <row r="38" spans="1:11">
      <c r="A38" s="80"/>
      <c r="B38" s="80"/>
      <c r="C38" s="80"/>
      <c r="D38" s="80"/>
      <c r="E38" s="80"/>
      <c r="F38" s="80"/>
      <c r="G38" s="80"/>
      <c r="H38" s="80"/>
      <c r="I38" s="80"/>
      <c r="J38" s="80"/>
      <c r="K38" s="80"/>
    </row>
    <row r="39" spans="1:11">
      <c r="A39" s="80"/>
      <c r="B39" s="80"/>
      <c r="C39" s="80"/>
      <c r="D39" s="80"/>
      <c r="E39" s="80"/>
      <c r="F39" s="80"/>
      <c r="G39" s="80"/>
      <c r="H39" s="80"/>
      <c r="I39" s="80"/>
      <c r="J39" s="80"/>
      <c r="K39" s="80"/>
    </row>
    <row r="40" spans="1:11">
      <c r="A40" s="80"/>
      <c r="B40" s="80"/>
      <c r="C40" s="80"/>
      <c r="D40" s="80"/>
      <c r="E40" s="80"/>
      <c r="F40" s="80"/>
      <c r="G40" s="80"/>
      <c r="H40" s="80"/>
      <c r="I40" s="80"/>
      <c r="J40" s="80"/>
      <c r="K40" s="80"/>
    </row>
  </sheetData>
  <sheetProtection formatRows="0" selectLockedCells="1"/>
  <mergeCells count="25">
    <mergeCell ref="A12:K12"/>
    <mergeCell ref="A3:A4"/>
    <mergeCell ref="A5:A6"/>
    <mergeCell ref="A9:A11"/>
    <mergeCell ref="K9:K11"/>
    <mergeCell ref="C10:E10"/>
    <mergeCell ref="G10:H10"/>
    <mergeCell ref="I10:J10"/>
    <mergeCell ref="C11:E11"/>
    <mergeCell ref="G11:H11"/>
    <mergeCell ref="I11:J11"/>
    <mergeCell ref="B5:K5"/>
    <mergeCell ref="B6:K6"/>
    <mergeCell ref="B7:K7"/>
    <mergeCell ref="A8:K8"/>
    <mergeCell ref="C9:E9"/>
    <mergeCell ref="G9:H9"/>
    <mergeCell ref="I9:J9"/>
    <mergeCell ref="A1:K1"/>
    <mergeCell ref="A2:K2"/>
    <mergeCell ref="B3:K3"/>
    <mergeCell ref="B4:D4"/>
    <mergeCell ref="E4:F4"/>
    <mergeCell ref="G4:I4"/>
    <mergeCell ref="J4:K4"/>
  </mergeCells>
  <dataValidations count="2">
    <dataValidation type="decimal" operator="greaterThan" allowBlank="1" showInputMessage="1" showErrorMessage="1" errorTitle="Некорректный ввод данных." error="Страховая сумма должна иметь числовое значение и не может быть меньше или равна 0." sqref="E4:F4 I10:I11" xr:uid="{00000000-0002-0000-0300-000000000000}">
      <formula1>0</formula1>
    </dataValidation>
    <dataValidation type="decimal" operator="greaterThanOrEqual" allowBlank="1" showInputMessage="1" showErrorMessage="1" errorTitle="Некорректный ввод данных." error="Страховая стоимость должна иметь числовое значение и не может быть меньше страховой суммы" sqref="J4:K4" xr:uid="{00000000-0002-0000-0300-000001000000}">
      <formula1>E4</formula1>
    </dataValidation>
  </dataValidations>
  <pageMargins left="0.70866141732283505" right="0.70866141732283505" top="0.74803149606299202" bottom="0.74803149606299202" header="0.31496062992126" footer="0.31496062992126"/>
  <pageSetup paperSize="9" scale="75" orientation="portrait" blackAndWhite="1" r:id="rId1"/>
  <headerFooter>
    <oddFooter>&amp;RПодпись:  __________________ М.П.            
/___________________________ /  (Ф.И.О. должность)</oddFooter>
  </headerFooter>
  <colBreaks count="1" manualBreakCount="1">
    <brk id="11"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62" r:id="rId4" name="Check Box 22">
              <controlPr defaultSize="0" autoPict="0">
                <anchor moveWithCells="1">
                  <from>
                    <xdr:col>1</xdr:col>
                    <xdr:colOff>38100</xdr:colOff>
                    <xdr:row>5</xdr:row>
                    <xdr:rowOff>28575</xdr:rowOff>
                  </from>
                  <to>
                    <xdr:col>10</xdr:col>
                    <xdr:colOff>628650</xdr:colOff>
                    <xdr:row>5</xdr:row>
                    <xdr:rowOff>247650</xdr:rowOff>
                  </to>
                </anchor>
              </controlPr>
            </control>
          </mc:Choice>
        </mc:AlternateContent>
        <mc:AlternateContent xmlns:mc="http://schemas.openxmlformats.org/markup-compatibility/2006">
          <mc:Choice Requires="x14">
            <control shapeId="10263" r:id="rId5" name="Check Box 23">
              <controlPr defaultSize="0" autoPict="0">
                <anchor moveWithCells="1">
                  <from>
                    <xdr:col>1</xdr:col>
                    <xdr:colOff>38100</xdr:colOff>
                    <xdr:row>5</xdr:row>
                    <xdr:rowOff>238125</xdr:rowOff>
                  </from>
                  <to>
                    <xdr:col>10</xdr:col>
                    <xdr:colOff>123825</xdr:colOff>
                    <xdr:row>5</xdr:row>
                    <xdr:rowOff>447675</xdr:rowOff>
                  </to>
                </anchor>
              </controlPr>
            </control>
          </mc:Choice>
        </mc:AlternateContent>
        <mc:AlternateContent xmlns:mc="http://schemas.openxmlformats.org/markup-compatibility/2006">
          <mc:Choice Requires="x14">
            <control shapeId="10264" r:id="rId6" name="Check Box 24">
              <controlPr defaultSize="0" autoPict="0">
                <anchor moveWithCells="1">
                  <from>
                    <xdr:col>1</xdr:col>
                    <xdr:colOff>38100</xdr:colOff>
                    <xdr:row>5</xdr:row>
                    <xdr:rowOff>447675</xdr:rowOff>
                  </from>
                  <to>
                    <xdr:col>8</xdr:col>
                    <xdr:colOff>85725</xdr:colOff>
                    <xdr:row>5</xdr:row>
                    <xdr:rowOff>628650</xdr:rowOff>
                  </to>
                </anchor>
              </controlPr>
            </control>
          </mc:Choice>
        </mc:AlternateContent>
        <mc:AlternateContent xmlns:mc="http://schemas.openxmlformats.org/markup-compatibility/2006">
          <mc:Choice Requires="x14">
            <control shapeId="10265" r:id="rId7" name="Check Box 25">
              <controlPr defaultSize="0" autoPict="0">
                <anchor moveWithCells="1">
                  <from>
                    <xdr:col>1</xdr:col>
                    <xdr:colOff>38100</xdr:colOff>
                    <xdr:row>5</xdr:row>
                    <xdr:rowOff>647700</xdr:rowOff>
                  </from>
                  <to>
                    <xdr:col>7</xdr:col>
                    <xdr:colOff>352425</xdr:colOff>
                    <xdr:row>5</xdr:row>
                    <xdr:rowOff>819150</xdr:rowOff>
                  </to>
                </anchor>
              </controlPr>
            </control>
          </mc:Choice>
        </mc:AlternateContent>
        <mc:AlternateContent xmlns:mc="http://schemas.openxmlformats.org/markup-compatibility/2006">
          <mc:Choice Requires="x14">
            <control shapeId="10266" r:id="rId8" name="Check Box 26">
              <controlPr defaultSize="0" autoPict="0" altText="Кража с незаконным проникновением, грабеж, разбой">
                <anchor moveWithCells="1">
                  <from>
                    <xdr:col>1</xdr:col>
                    <xdr:colOff>38100</xdr:colOff>
                    <xdr:row>5</xdr:row>
                    <xdr:rowOff>781050</xdr:rowOff>
                  </from>
                  <to>
                    <xdr:col>10</xdr:col>
                    <xdr:colOff>704850</xdr:colOff>
                    <xdr:row>5</xdr:row>
                    <xdr:rowOff>1143000</xdr:rowOff>
                  </to>
                </anchor>
              </controlPr>
            </control>
          </mc:Choice>
        </mc:AlternateContent>
        <mc:AlternateContent xmlns:mc="http://schemas.openxmlformats.org/markup-compatibility/2006">
          <mc:Choice Requires="x14">
            <control shapeId="10267" r:id="rId9" name="Check Box 27">
              <controlPr defaultSize="0" autoPict="0">
                <anchor moveWithCells="1">
                  <from>
                    <xdr:col>1</xdr:col>
                    <xdr:colOff>38100</xdr:colOff>
                    <xdr:row>5</xdr:row>
                    <xdr:rowOff>1104900</xdr:rowOff>
                  </from>
                  <to>
                    <xdr:col>8</xdr:col>
                    <xdr:colOff>695325</xdr:colOff>
                    <xdr:row>5</xdr:row>
                    <xdr:rowOff>1285875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whole" allowBlank="1" showInputMessage="1" showErrorMessage="1" errorTitle="Некорректный ввод данных." error="Используйте формат ГГГГ._x000a_Год не может быть больше текущего года." xr:uid="{00000000-0002-0000-0300-000002000000}">
          <x14:formula1>
            <xm:f>1500</xm:f>
          </x14:formula1>
          <x14:formula2>
            <xm:f>Export!G1</xm:f>
          </x14:formula2>
          <xm:sqref>F10:G11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dimension ref="A1:K33"/>
  <sheetViews>
    <sheetView view="pageBreakPreview" zoomScaleNormal="100" workbookViewId="0">
      <pane ySplit="1" topLeftCell="A2" activePane="bottomLeft" state="frozen"/>
      <selection pane="bottomLeft" activeCell="F4" sqref="F4:K4"/>
    </sheetView>
  </sheetViews>
  <sheetFormatPr defaultColWidth="9.140625" defaultRowHeight="15"/>
  <cols>
    <col min="1" max="1" width="6.7109375" style="71" customWidth="1"/>
    <col min="2" max="11" width="10.7109375" style="71" customWidth="1"/>
    <col min="12" max="41" width="5.7109375" style="71" customWidth="1"/>
    <col min="42" max="16384" width="9.140625" style="71"/>
  </cols>
  <sheetData>
    <row r="1" spans="1:11" ht="35.1" customHeight="1">
      <c r="A1" s="452" t="s">
        <v>169</v>
      </c>
      <c r="B1" s="453"/>
      <c r="C1" s="453"/>
      <c r="D1" s="453"/>
      <c r="E1" s="453"/>
      <c r="F1" s="453"/>
      <c r="G1" s="453"/>
      <c r="H1" s="453"/>
      <c r="I1" s="453"/>
      <c r="J1" s="453"/>
      <c r="K1" s="454"/>
    </row>
    <row r="2" spans="1:11" ht="5.0999999999999996" customHeight="1">
      <c r="A2" s="455"/>
      <c r="B2" s="455"/>
      <c r="C2" s="455"/>
      <c r="D2" s="455"/>
      <c r="E2" s="455"/>
      <c r="F2" s="455"/>
      <c r="G2" s="455"/>
      <c r="H2" s="455"/>
      <c r="I2" s="455"/>
      <c r="J2" s="455"/>
      <c r="K2" s="455"/>
    </row>
    <row r="3" spans="1:11" ht="15" customHeight="1">
      <c r="A3" s="496" t="s">
        <v>152</v>
      </c>
      <c r="B3" s="552" t="s">
        <v>170</v>
      </c>
      <c r="C3" s="553"/>
      <c r="D3" s="553"/>
      <c r="E3" s="554"/>
      <c r="F3" s="555"/>
      <c r="G3" s="556"/>
      <c r="H3" s="556"/>
      <c r="I3" s="556"/>
      <c r="J3" s="556"/>
      <c r="K3" s="557"/>
    </row>
    <row r="4" spans="1:11" ht="15" customHeight="1">
      <c r="A4" s="527"/>
      <c r="B4" s="465" t="s">
        <v>171</v>
      </c>
      <c r="C4" s="466"/>
      <c r="D4" s="466"/>
      <c r="E4" s="467"/>
      <c r="F4" s="558"/>
      <c r="G4" s="559"/>
      <c r="H4" s="559"/>
      <c r="I4" s="559"/>
      <c r="J4" s="559"/>
      <c r="K4" s="560"/>
    </row>
    <row r="5" spans="1:11" ht="15" customHeight="1">
      <c r="A5" s="497"/>
      <c r="B5" s="552" t="s">
        <v>172</v>
      </c>
      <c r="C5" s="553"/>
      <c r="D5" s="553"/>
      <c r="E5" s="554"/>
      <c r="F5" s="561"/>
      <c r="G5" s="562"/>
      <c r="H5" s="562"/>
      <c r="I5" s="562"/>
      <c r="J5" s="562"/>
      <c r="K5" s="563"/>
    </row>
    <row r="6" spans="1:11" ht="15" customHeight="1">
      <c r="A6" s="496" t="s">
        <v>37</v>
      </c>
      <c r="B6" s="564" t="s">
        <v>173</v>
      </c>
      <c r="C6" s="565"/>
      <c r="D6" s="565"/>
      <c r="E6" s="565"/>
      <c r="F6" s="565"/>
      <c r="G6" s="565"/>
      <c r="H6" s="565"/>
      <c r="I6" s="565"/>
      <c r="J6" s="565"/>
      <c r="K6" s="566"/>
    </row>
    <row r="7" spans="1:11" ht="15" customHeight="1">
      <c r="A7" s="527"/>
      <c r="B7" s="567" t="s">
        <v>174</v>
      </c>
      <c r="C7" s="568"/>
      <c r="D7" s="568"/>
      <c r="E7" s="569"/>
      <c r="F7" s="570"/>
      <c r="G7" s="571"/>
      <c r="H7" s="571"/>
      <c r="I7" s="571"/>
      <c r="J7" s="571"/>
      <c r="K7" s="572"/>
    </row>
    <row r="8" spans="1:11" ht="15" customHeight="1">
      <c r="A8" s="527"/>
      <c r="B8" s="552" t="s">
        <v>175</v>
      </c>
      <c r="C8" s="553"/>
      <c r="D8" s="553"/>
      <c r="E8" s="554"/>
      <c r="F8" s="573"/>
      <c r="G8" s="574"/>
      <c r="H8" s="574"/>
      <c r="I8" s="574"/>
      <c r="J8" s="574"/>
      <c r="K8" s="575"/>
    </row>
    <row r="9" spans="1:11" ht="15" customHeight="1">
      <c r="A9" s="527"/>
      <c r="B9" s="552" t="s">
        <v>176</v>
      </c>
      <c r="C9" s="553"/>
      <c r="D9" s="553"/>
      <c r="E9" s="554"/>
      <c r="F9" s="576"/>
      <c r="G9" s="577"/>
      <c r="H9" s="577"/>
      <c r="I9" s="577"/>
      <c r="J9" s="577"/>
      <c r="K9" s="578"/>
    </row>
    <row r="10" spans="1:11" ht="15" customHeight="1">
      <c r="A10" s="527"/>
      <c r="B10" s="552" t="s">
        <v>177</v>
      </c>
      <c r="C10" s="553"/>
      <c r="D10" s="553"/>
      <c r="E10" s="553"/>
      <c r="F10" s="553"/>
      <c r="G10" s="553"/>
      <c r="H10" s="553"/>
      <c r="I10" s="554"/>
      <c r="J10" s="579"/>
      <c r="K10" s="580"/>
    </row>
    <row r="11" spans="1:11" ht="15" customHeight="1">
      <c r="A11" s="527"/>
      <c r="B11" s="465" t="s">
        <v>178</v>
      </c>
      <c r="C11" s="466"/>
      <c r="D11" s="466"/>
      <c r="E11" s="466"/>
      <c r="F11" s="466"/>
      <c r="G11" s="466"/>
      <c r="H11" s="466"/>
      <c r="I11" s="467"/>
      <c r="J11" s="579"/>
      <c r="K11" s="580"/>
    </row>
    <row r="12" spans="1:11" ht="15" customHeight="1">
      <c r="A12" s="527"/>
      <c r="B12" s="465" t="s">
        <v>179</v>
      </c>
      <c r="C12" s="466"/>
      <c r="D12" s="466"/>
      <c r="E12" s="466"/>
      <c r="F12" s="466"/>
      <c r="G12" s="466"/>
      <c r="H12" s="466"/>
      <c r="I12" s="467"/>
      <c r="J12" s="581"/>
      <c r="K12" s="582"/>
    </row>
    <row r="13" spans="1:11" ht="15" customHeight="1">
      <c r="A13" s="527"/>
      <c r="B13" s="465" t="s">
        <v>180</v>
      </c>
      <c r="C13" s="466"/>
      <c r="D13" s="466"/>
      <c r="E13" s="466"/>
      <c r="F13" s="466"/>
      <c r="G13" s="466"/>
      <c r="H13" s="466"/>
      <c r="I13" s="467"/>
      <c r="J13" s="579"/>
      <c r="K13" s="580"/>
    </row>
    <row r="14" spans="1:11" ht="15" customHeight="1">
      <c r="A14" s="497"/>
      <c r="B14" s="465" t="s">
        <v>181</v>
      </c>
      <c r="C14" s="466"/>
      <c r="D14" s="466"/>
      <c r="E14" s="466"/>
      <c r="F14" s="466"/>
      <c r="G14" s="466"/>
      <c r="H14" s="466"/>
      <c r="I14" s="467"/>
      <c r="J14" s="579"/>
      <c r="K14" s="580"/>
    </row>
    <row r="15" spans="1:11">
      <c r="A15" s="583"/>
      <c r="B15" s="583"/>
      <c r="C15" s="583"/>
      <c r="D15" s="583"/>
      <c r="E15" s="583"/>
      <c r="F15" s="583"/>
      <c r="G15" s="583"/>
      <c r="H15" s="583"/>
      <c r="I15" s="583"/>
      <c r="J15" s="583"/>
      <c r="K15" s="583"/>
    </row>
    <row r="16" spans="1:11">
      <c r="A16" s="72"/>
      <c r="B16" s="72"/>
      <c r="C16" s="72"/>
      <c r="D16" s="72"/>
      <c r="E16" s="72"/>
      <c r="F16" s="72"/>
      <c r="G16" s="72"/>
      <c r="H16" s="72"/>
      <c r="I16" s="72"/>
    </row>
    <row r="17" spans="1:9">
      <c r="A17" s="72"/>
      <c r="B17" s="72"/>
      <c r="C17" s="72"/>
      <c r="D17" s="72"/>
      <c r="E17" s="72"/>
      <c r="F17" s="72"/>
      <c r="G17" s="72"/>
      <c r="H17" s="72"/>
      <c r="I17" s="72"/>
    </row>
    <row r="18" spans="1:9">
      <c r="A18" s="72"/>
      <c r="B18" s="72"/>
      <c r="C18" s="72"/>
      <c r="D18" s="72"/>
      <c r="E18" s="72"/>
      <c r="F18" s="72"/>
      <c r="G18" s="72"/>
      <c r="H18" s="72"/>
      <c r="I18" s="72"/>
    </row>
    <row r="19" spans="1:9">
      <c r="A19" s="72"/>
      <c r="B19" s="72"/>
      <c r="C19" s="72"/>
      <c r="D19" s="72"/>
      <c r="E19" s="72"/>
      <c r="F19" s="72"/>
      <c r="G19" s="72"/>
      <c r="H19" s="72"/>
      <c r="I19" s="72"/>
    </row>
    <row r="20" spans="1:9">
      <c r="A20" s="72"/>
      <c r="B20" s="72"/>
      <c r="C20" s="72"/>
      <c r="D20" s="72"/>
      <c r="E20" s="72"/>
      <c r="F20" s="72"/>
      <c r="G20" s="72"/>
      <c r="H20" s="72"/>
      <c r="I20" s="72"/>
    </row>
    <row r="21" spans="1:9">
      <c r="A21" s="72"/>
      <c r="B21" s="72"/>
      <c r="C21" s="72"/>
      <c r="D21" s="72"/>
      <c r="E21" s="72"/>
      <c r="F21" s="72"/>
      <c r="G21" s="72"/>
      <c r="H21" s="72"/>
      <c r="I21" s="72"/>
    </row>
    <row r="22" spans="1:9">
      <c r="A22" s="72"/>
      <c r="B22" s="72"/>
      <c r="C22" s="72"/>
      <c r="D22" s="72"/>
      <c r="E22" s="72"/>
      <c r="F22" s="72"/>
      <c r="G22" s="72"/>
      <c r="H22" s="72"/>
      <c r="I22" s="72"/>
    </row>
    <row r="23" spans="1:9">
      <c r="A23" s="72"/>
      <c r="B23" s="72"/>
      <c r="C23" s="72"/>
      <c r="D23" s="72"/>
      <c r="E23" s="72"/>
      <c r="F23" s="72"/>
      <c r="G23" s="72"/>
      <c r="H23" s="72"/>
      <c r="I23" s="72"/>
    </row>
    <row r="24" spans="1:9">
      <c r="A24" s="72"/>
      <c r="B24" s="72"/>
      <c r="C24" s="72"/>
      <c r="D24" s="72"/>
      <c r="E24" s="72"/>
      <c r="F24" s="72"/>
      <c r="G24" s="72"/>
      <c r="H24" s="72"/>
      <c r="I24" s="72"/>
    </row>
    <row r="25" spans="1:9">
      <c r="A25" s="72"/>
      <c r="B25" s="72"/>
      <c r="C25" s="72"/>
      <c r="D25" s="72"/>
      <c r="E25" s="72"/>
      <c r="F25" s="72"/>
      <c r="G25" s="72"/>
      <c r="H25" s="72"/>
      <c r="I25" s="72"/>
    </row>
    <row r="26" spans="1:9">
      <c r="A26" s="72"/>
      <c r="B26" s="72"/>
      <c r="C26" s="72"/>
      <c r="D26" s="72"/>
      <c r="E26" s="72"/>
      <c r="F26" s="72"/>
      <c r="G26" s="72"/>
      <c r="H26" s="72"/>
      <c r="I26" s="72"/>
    </row>
    <row r="27" spans="1:9">
      <c r="A27" s="72"/>
      <c r="B27" s="72"/>
      <c r="C27" s="72"/>
      <c r="D27" s="72"/>
      <c r="E27" s="72"/>
      <c r="F27" s="72"/>
      <c r="G27" s="72"/>
      <c r="H27" s="72"/>
      <c r="I27" s="72"/>
    </row>
    <row r="28" spans="1:9">
      <c r="A28" s="72"/>
      <c r="B28" s="72"/>
      <c r="C28" s="72"/>
      <c r="D28" s="72"/>
      <c r="E28" s="72"/>
      <c r="F28" s="72"/>
      <c r="G28" s="72"/>
      <c r="H28" s="72"/>
      <c r="I28" s="72"/>
    </row>
    <row r="29" spans="1:9">
      <c r="A29" s="72"/>
      <c r="B29" s="72"/>
      <c r="C29" s="72"/>
      <c r="D29" s="72"/>
      <c r="E29" s="72"/>
      <c r="F29" s="72"/>
      <c r="G29" s="72"/>
      <c r="H29" s="72"/>
      <c r="I29" s="72"/>
    </row>
    <row r="30" spans="1:9">
      <c r="A30" s="72"/>
      <c r="B30" s="72"/>
      <c r="C30" s="72"/>
      <c r="D30" s="72"/>
      <c r="E30" s="72"/>
      <c r="F30" s="72"/>
      <c r="G30" s="72"/>
      <c r="H30" s="72"/>
      <c r="I30" s="72"/>
    </row>
    <row r="31" spans="1:9">
      <c r="A31" s="72"/>
      <c r="B31" s="72"/>
      <c r="C31" s="72"/>
      <c r="D31" s="72"/>
      <c r="E31" s="72"/>
      <c r="F31" s="72"/>
      <c r="G31" s="72"/>
      <c r="H31" s="72"/>
      <c r="I31" s="72"/>
    </row>
    <row r="32" spans="1:9">
      <c r="A32" s="72"/>
      <c r="B32" s="72"/>
      <c r="C32" s="72"/>
      <c r="D32" s="72"/>
      <c r="E32" s="72"/>
      <c r="F32" s="72"/>
      <c r="G32" s="72"/>
      <c r="H32" s="72"/>
      <c r="I32" s="72"/>
    </row>
    <row r="33" spans="1:9">
      <c r="A33" s="72"/>
      <c r="B33" s="72"/>
      <c r="C33" s="72"/>
      <c r="D33" s="72"/>
      <c r="E33" s="72"/>
      <c r="F33" s="72"/>
      <c r="G33" s="72"/>
      <c r="H33" s="72"/>
      <c r="I33" s="72"/>
    </row>
  </sheetData>
  <sheetProtection password="CF4A" sheet="1" formatRows="0" selectLockedCells="1"/>
  <mergeCells count="28">
    <mergeCell ref="B14:I14"/>
    <mergeCell ref="J14:K14"/>
    <mergeCell ref="A15:K15"/>
    <mergeCell ref="A3:A5"/>
    <mergeCell ref="A6:A14"/>
    <mergeCell ref="B11:I11"/>
    <mergeCell ref="J11:K11"/>
    <mergeCell ref="B12:I12"/>
    <mergeCell ref="J12:K12"/>
    <mergeCell ref="B13:I13"/>
    <mergeCell ref="J13:K13"/>
    <mergeCell ref="B8:E8"/>
    <mergeCell ref="F8:K8"/>
    <mergeCell ref="B9:E9"/>
    <mergeCell ref="F9:K9"/>
    <mergeCell ref="B10:I10"/>
    <mergeCell ref="J10:K10"/>
    <mergeCell ref="B5:E5"/>
    <mergeCell ref="F5:K5"/>
    <mergeCell ref="B6:K6"/>
    <mergeCell ref="B7:E7"/>
    <mergeCell ref="F7:K7"/>
    <mergeCell ref="A1:K1"/>
    <mergeCell ref="A2:K2"/>
    <mergeCell ref="B3:E3"/>
    <mergeCell ref="F3:K3"/>
    <mergeCell ref="B4:E4"/>
    <mergeCell ref="F4:K4"/>
  </mergeCells>
  <dataValidations count="3">
    <dataValidation type="whole" operator="greaterThan" allowBlank="1" showInputMessage="1" showErrorMessage="1" errorTitle="Некорректный ввод данных." error="Количество литров должно иметь числовое значение и не может быть меньше или равно 0." sqref="F5:K5" xr:uid="{00000000-0002-0000-0400-000000000000}">
      <formula1>0</formula1>
    </dataValidation>
    <dataValidation type="whole" operator="greaterThan" allowBlank="1" showInputMessage="1" showErrorMessage="1" errorTitle="Некорректный ввод данных." error="Количество въездов/выездов должно иметь числовое значение и не может быть меньше или равно 0." sqref="F7:K7" xr:uid="{00000000-0002-0000-0400-000001000000}">
      <formula1>0</formula1>
    </dataValidation>
    <dataValidation type="decimal" operator="greaterThan" allowBlank="1" showInputMessage="1" showErrorMessage="1" errorTitle="Некорректный ввод данных." error="Высота ограждения должна иметь числовое значение и не может быть меньше или равна 0." sqref="F8:K8" xr:uid="{00000000-0002-0000-0400-000002000000}">
      <formula1>0</formula1>
    </dataValidation>
  </dataValidations>
  <pageMargins left="0.70866141732283505" right="0.70866141732283505" top="0.74803149606299202" bottom="0.74803149606299202" header="0.31496062992126" footer="0.31496062992126"/>
  <pageSetup paperSize="9" scale="75" orientation="portrait" blackAndWhite="1" r:id="rId1"/>
  <headerFooter>
    <oddFooter>&amp;RПодпись:  __________________ М.П.            
/___________________________ /  (Ф.И.О. должность)</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8468" r:id="rId4" name="Option Button 36">
              <controlPr defaultSize="0" autoPict="0">
                <anchor moveWithCells="1">
                  <from>
                    <xdr:col>9</xdr:col>
                    <xdr:colOff>38100</xdr:colOff>
                    <xdr:row>12</xdr:row>
                    <xdr:rowOff>28575</xdr:rowOff>
                  </from>
                  <to>
                    <xdr:col>9</xdr:col>
                    <xdr:colOff>438150</xdr:colOff>
                    <xdr:row>12</xdr:row>
                    <xdr:rowOff>161925</xdr:rowOff>
                  </to>
                </anchor>
              </controlPr>
            </control>
          </mc:Choice>
        </mc:AlternateContent>
        <mc:AlternateContent xmlns:mc="http://schemas.openxmlformats.org/markup-compatibility/2006">
          <mc:Choice Requires="x14">
            <control shapeId="18469" r:id="rId5" name="Option Button 37">
              <controlPr defaultSize="0" autoPict="0">
                <anchor moveWithCells="1">
                  <from>
                    <xdr:col>9</xdr:col>
                    <xdr:colOff>561975</xdr:colOff>
                    <xdr:row>12</xdr:row>
                    <xdr:rowOff>28575</xdr:rowOff>
                  </from>
                  <to>
                    <xdr:col>10</xdr:col>
                    <xdr:colOff>314325</xdr:colOff>
                    <xdr:row>12</xdr:row>
                    <xdr:rowOff>152400</xdr:rowOff>
                  </to>
                </anchor>
              </controlPr>
            </control>
          </mc:Choice>
        </mc:AlternateContent>
        <mc:AlternateContent xmlns:mc="http://schemas.openxmlformats.org/markup-compatibility/2006">
          <mc:Choice Requires="x14">
            <control shapeId="18470" r:id="rId6" name="Option Button 38">
              <controlPr defaultSize="0" autoPict="0">
                <anchor moveWithCells="1">
                  <from>
                    <xdr:col>9</xdr:col>
                    <xdr:colOff>38100</xdr:colOff>
                    <xdr:row>13</xdr:row>
                    <xdr:rowOff>38100</xdr:rowOff>
                  </from>
                  <to>
                    <xdr:col>9</xdr:col>
                    <xdr:colOff>428625</xdr:colOff>
                    <xdr:row>13</xdr:row>
                    <xdr:rowOff>161925</xdr:rowOff>
                  </to>
                </anchor>
              </controlPr>
            </control>
          </mc:Choice>
        </mc:AlternateContent>
        <mc:AlternateContent xmlns:mc="http://schemas.openxmlformats.org/markup-compatibility/2006">
          <mc:Choice Requires="x14">
            <control shapeId="18471" r:id="rId7" name="Option Button 39">
              <controlPr defaultSize="0" autoPict="0">
                <anchor moveWithCells="1">
                  <from>
                    <xdr:col>9</xdr:col>
                    <xdr:colOff>561975</xdr:colOff>
                    <xdr:row>13</xdr:row>
                    <xdr:rowOff>38100</xdr:rowOff>
                  </from>
                  <to>
                    <xdr:col>10</xdr:col>
                    <xdr:colOff>304800</xdr:colOff>
                    <xdr:row>13</xdr:row>
                    <xdr:rowOff>161925</xdr:rowOff>
                  </to>
                </anchor>
              </controlPr>
            </control>
          </mc:Choice>
        </mc:AlternateContent>
        <mc:AlternateContent xmlns:mc="http://schemas.openxmlformats.org/markup-compatibility/2006">
          <mc:Choice Requires="x14">
            <control shapeId="18490" r:id="rId8" name="Option Button 58">
              <controlPr defaultSize="0" autoPict="0">
                <anchor moveWithCells="1">
                  <from>
                    <xdr:col>9</xdr:col>
                    <xdr:colOff>38100</xdr:colOff>
                    <xdr:row>11</xdr:row>
                    <xdr:rowOff>28575</xdr:rowOff>
                  </from>
                  <to>
                    <xdr:col>9</xdr:col>
                    <xdr:colOff>438150</xdr:colOff>
                    <xdr:row>11</xdr:row>
                    <xdr:rowOff>161925</xdr:rowOff>
                  </to>
                </anchor>
              </controlPr>
            </control>
          </mc:Choice>
        </mc:AlternateContent>
        <mc:AlternateContent xmlns:mc="http://schemas.openxmlformats.org/markup-compatibility/2006">
          <mc:Choice Requires="x14">
            <control shapeId="18491" r:id="rId9" name="Option Button 59">
              <controlPr defaultSize="0" autoPict="0">
                <anchor moveWithCells="1">
                  <from>
                    <xdr:col>9</xdr:col>
                    <xdr:colOff>561975</xdr:colOff>
                    <xdr:row>11</xdr:row>
                    <xdr:rowOff>38100</xdr:rowOff>
                  </from>
                  <to>
                    <xdr:col>10</xdr:col>
                    <xdr:colOff>314325</xdr:colOff>
                    <xdr:row>11</xdr:row>
                    <xdr:rowOff>161925</xdr:rowOff>
                  </to>
                </anchor>
              </controlPr>
            </control>
          </mc:Choice>
        </mc:AlternateContent>
        <mc:AlternateContent xmlns:mc="http://schemas.openxmlformats.org/markup-compatibility/2006">
          <mc:Choice Requires="x14">
            <control shapeId="18493" r:id="rId10" name="Option Button 61">
              <controlPr defaultSize="0" autoPict="0">
                <anchor moveWithCells="1">
                  <from>
                    <xdr:col>9</xdr:col>
                    <xdr:colOff>38100</xdr:colOff>
                    <xdr:row>9</xdr:row>
                    <xdr:rowOff>28575</xdr:rowOff>
                  </from>
                  <to>
                    <xdr:col>9</xdr:col>
                    <xdr:colOff>438150</xdr:colOff>
                    <xdr:row>9</xdr:row>
                    <xdr:rowOff>171450</xdr:rowOff>
                  </to>
                </anchor>
              </controlPr>
            </control>
          </mc:Choice>
        </mc:AlternateContent>
        <mc:AlternateContent xmlns:mc="http://schemas.openxmlformats.org/markup-compatibility/2006">
          <mc:Choice Requires="x14">
            <control shapeId="18494" r:id="rId11" name="Option Button 62">
              <controlPr defaultSize="0" autoPict="0">
                <anchor moveWithCells="1">
                  <from>
                    <xdr:col>9</xdr:col>
                    <xdr:colOff>561975</xdr:colOff>
                    <xdr:row>9</xdr:row>
                    <xdr:rowOff>28575</xdr:rowOff>
                  </from>
                  <to>
                    <xdr:col>10</xdr:col>
                    <xdr:colOff>314325</xdr:colOff>
                    <xdr:row>9</xdr:row>
                    <xdr:rowOff>152400</xdr:rowOff>
                  </to>
                </anchor>
              </controlPr>
            </control>
          </mc:Choice>
        </mc:AlternateContent>
        <mc:AlternateContent xmlns:mc="http://schemas.openxmlformats.org/markup-compatibility/2006">
          <mc:Choice Requires="x14">
            <control shapeId="18496" r:id="rId12" name="Option Button 64">
              <controlPr defaultSize="0" autoPict="0">
                <anchor moveWithCells="1">
                  <from>
                    <xdr:col>9</xdr:col>
                    <xdr:colOff>38100</xdr:colOff>
                    <xdr:row>10</xdr:row>
                    <xdr:rowOff>28575</xdr:rowOff>
                  </from>
                  <to>
                    <xdr:col>9</xdr:col>
                    <xdr:colOff>438150</xdr:colOff>
                    <xdr:row>10</xdr:row>
                    <xdr:rowOff>180975</xdr:rowOff>
                  </to>
                </anchor>
              </controlPr>
            </control>
          </mc:Choice>
        </mc:AlternateContent>
        <mc:AlternateContent xmlns:mc="http://schemas.openxmlformats.org/markup-compatibility/2006">
          <mc:Choice Requires="x14">
            <control shapeId="18497" r:id="rId13" name="Option Button 65">
              <controlPr defaultSize="0" autoPict="0">
                <anchor moveWithCells="1">
                  <from>
                    <xdr:col>9</xdr:col>
                    <xdr:colOff>561975</xdr:colOff>
                    <xdr:row>10</xdr:row>
                    <xdr:rowOff>38100</xdr:rowOff>
                  </from>
                  <to>
                    <xdr:col>10</xdr:col>
                    <xdr:colOff>314325</xdr:colOff>
                    <xdr:row>10</xdr:row>
                    <xdr:rowOff>161925</xdr:rowOff>
                  </to>
                </anchor>
              </controlPr>
            </control>
          </mc:Choice>
        </mc:AlternateContent>
        <mc:AlternateContent xmlns:mc="http://schemas.openxmlformats.org/markup-compatibility/2006">
          <mc:Choice Requires="x14">
            <control shapeId="18498" r:id="rId14" name="Group Box 66">
              <controlPr defaultSize="0" autoPict="0">
                <anchor moveWithCells="1">
                  <from>
                    <xdr:col>9</xdr:col>
                    <xdr:colOff>0</xdr:colOff>
                    <xdr:row>9</xdr:row>
                    <xdr:rowOff>0</xdr:rowOff>
                  </from>
                  <to>
                    <xdr:col>11</xdr:col>
                    <xdr:colOff>0</xdr:colOff>
                    <xdr:row>10</xdr:row>
                    <xdr:rowOff>0</xdr:rowOff>
                  </to>
                </anchor>
              </controlPr>
            </control>
          </mc:Choice>
        </mc:AlternateContent>
        <mc:AlternateContent xmlns:mc="http://schemas.openxmlformats.org/markup-compatibility/2006">
          <mc:Choice Requires="x14">
            <control shapeId="18499" r:id="rId15" name="Group Box 67">
              <controlPr defaultSize="0" autoPict="0">
                <anchor moveWithCells="1">
                  <from>
                    <xdr:col>9</xdr:col>
                    <xdr:colOff>0</xdr:colOff>
                    <xdr:row>10</xdr:row>
                    <xdr:rowOff>0</xdr:rowOff>
                  </from>
                  <to>
                    <xdr:col>11</xdr:col>
                    <xdr:colOff>0</xdr:colOff>
                    <xdr:row>11</xdr:row>
                    <xdr:rowOff>0</xdr:rowOff>
                  </to>
                </anchor>
              </controlPr>
            </control>
          </mc:Choice>
        </mc:AlternateContent>
        <mc:AlternateContent xmlns:mc="http://schemas.openxmlformats.org/markup-compatibility/2006">
          <mc:Choice Requires="x14">
            <control shapeId="18500" r:id="rId16" name="Group Box 68">
              <controlPr defaultSize="0" autoPict="0">
                <anchor moveWithCells="1">
                  <from>
                    <xdr:col>8</xdr:col>
                    <xdr:colOff>714375</xdr:colOff>
                    <xdr:row>11</xdr:row>
                    <xdr:rowOff>0</xdr:rowOff>
                  </from>
                  <to>
                    <xdr:col>11</xdr:col>
                    <xdr:colOff>0</xdr:colOff>
                    <xdr:row>12</xdr:row>
                    <xdr:rowOff>0</xdr:rowOff>
                  </to>
                </anchor>
              </controlPr>
            </control>
          </mc:Choice>
        </mc:AlternateContent>
        <mc:AlternateContent xmlns:mc="http://schemas.openxmlformats.org/markup-compatibility/2006">
          <mc:Choice Requires="x14">
            <control shapeId="18501" r:id="rId17" name="Group Box 69">
              <controlPr defaultSize="0" autoPict="0">
                <anchor moveWithCells="1">
                  <from>
                    <xdr:col>9</xdr:col>
                    <xdr:colOff>0</xdr:colOff>
                    <xdr:row>12</xdr:row>
                    <xdr:rowOff>0</xdr:rowOff>
                  </from>
                  <to>
                    <xdr:col>11</xdr:col>
                    <xdr:colOff>0</xdr:colOff>
                    <xdr:row>13</xdr:row>
                    <xdr:rowOff>0</xdr:rowOff>
                  </to>
                </anchor>
              </controlPr>
            </control>
          </mc:Choice>
        </mc:AlternateContent>
        <mc:AlternateContent xmlns:mc="http://schemas.openxmlformats.org/markup-compatibility/2006">
          <mc:Choice Requires="x14">
            <control shapeId="18502" r:id="rId18" name="Group Box 70">
              <controlPr defaultSize="0" autoPict="0">
                <anchor moveWithCells="1">
                  <from>
                    <xdr:col>9</xdr:col>
                    <xdr:colOff>0</xdr:colOff>
                    <xdr:row>12</xdr:row>
                    <xdr:rowOff>190500</xdr:rowOff>
                  </from>
                  <to>
                    <xdr:col>11</xdr:col>
                    <xdr:colOff>0</xdr:colOff>
                    <xdr:row>14</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6"/>
  <dimension ref="A1:Q38"/>
  <sheetViews>
    <sheetView view="pageBreakPreview" zoomScaleNormal="100" workbookViewId="0">
      <pane ySplit="1" topLeftCell="A2" activePane="bottomLeft" state="frozen"/>
      <selection pane="bottomLeft" activeCell="G19" sqref="G19:K19"/>
    </sheetView>
  </sheetViews>
  <sheetFormatPr defaultColWidth="9.140625" defaultRowHeight="15"/>
  <cols>
    <col min="1" max="1" width="6.7109375" customWidth="1"/>
    <col min="2" max="11" width="10.7109375" customWidth="1"/>
    <col min="12" max="57" width="5.7109375" customWidth="1"/>
  </cols>
  <sheetData>
    <row r="1" spans="1:17" ht="35.1" customHeight="1">
      <c r="A1" s="452" t="s">
        <v>182</v>
      </c>
      <c r="B1" s="453"/>
      <c r="C1" s="453"/>
      <c r="D1" s="453"/>
      <c r="E1" s="453"/>
      <c r="F1" s="453"/>
      <c r="G1" s="453"/>
      <c r="H1" s="453"/>
      <c r="I1" s="453"/>
      <c r="J1" s="453"/>
      <c r="K1" s="454"/>
    </row>
    <row r="2" spans="1:17" ht="5.0999999999999996" customHeight="1">
      <c r="A2" s="455"/>
      <c r="B2" s="455"/>
      <c r="C2" s="455"/>
      <c r="D2" s="455"/>
      <c r="E2" s="455"/>
      <c r="F2" s="455"/>
      <c r="G2" s="455"/>
      <c r="H2" s="455"/>
      <c r="I2" s="455"/>
      <c r="J2" s="455"/>
      <c r="K2" s="455"/>
    </row>
    <row r="3" spans="1:17" ht="15" customHeight="1">
      <c r="A3" s="496" t="s">
        <v>152</v>
      </c>
      <c r="B3" s="465" t="s">
        <v>143</v>
      </c>
      <c r="C3" s="466"/>
      <c r="D3" s="466"/>
      <c r="E3" s="466"/>
      <c r="F3" s="466"/>
      <c r="G3" s="466"/>
      <c r="H3" s="466"/>
      <c r="I3" s="466"/>
      <c r="J3" s="466"/>
      <c r="K3" s="467"/>
      <c r="L3" s="68"/>
      <c r="M3" s="68"/>
      <c r="N3" s="68"/>
      <c r="O3" s="68"/>
      <c r="P3" s="68"/>
      <c r="Q3" s="68"/>
    </row>
    <row r="4" spans="1:17" ht="57.75" customHeight="1">
      <c r="A4" s="497"/>
      <c r="B4" s="584"/>
      <c r="C4" s="585"/>
      <c r="D4" s="585"/>
      <c r="E4" s="585"/>
      <c r="F4" s="585"/>
      <c r="G4" s="585"/>
      <c r="H4" s="585"/>
      <c r="I4" s="585"/>
      <c r="J4" s="585"/>
      <c r="K4" s="586"/>
      <c r="L4" s="69"/>
      <c r="M4" s="69"/>
      <c r="N4" s="69"/>
      <c r="O4" s="69"/>
      <c r="P4" s="69"/>
      <c r="Q4" s="69"/>
    </row>
    <row r="5" spans="1:17" ht="15" customHeight="1">
      <c r="A5" s="639" t="s">
        <v>183</v>
      </c>
      <c r="B5" s="564" t="s">
        <v>184</v>
      </c>
      <c r="C5" s="565"/>
      <c r="D5" s="565"/>
      <c r="E5" s="565"/>
      <c r="F5" s="565"/>
      <c r="G5" s="565"/>
      <c r="H5" s="565"/>
      <c r="I5" s="565"/>
      <c r="J5" s="565"/>
      <c r="K5" s="566"/>
    </row>
    <row r="6" spans="1:17" ht="15" customHeight="1">
      <c r="A6" s="640"/>
      <c r="B6" s="552" t="s">
        <v>185</v>
      </c>
      <c r="C6" s="553"/>
      <c r="D6" s="553"/>
      <c r="E6" s="553"/>
      <c r="F6" s="554"/>
      <c r="G6" s="570"/>
      <c r="H6" s="571"/>
      <c r="I6" s="571"/>
      <c r="J6" s="571"/>
      <c r="K6" s="572"/>
    </row>
    <row r="7" spans="1:17" ht="15" customHeight="1">
      <c r="A7" s="640"/>
      <c r="B7" s="552" t="s">
        <v>186</v>
      </c>
      <c r="C7" s="553"/>
      <c r="D7" s="553"/>
      <c r="E7" s="553"/>
      <c r="F7" s="554"/>
      <c r="G7" s="587"/>
      <c r="H7" s="588"/>
      <c r="I7" s="588"/>
      <c r="J7" s="588"/>
      <c r="K7" s="589"/>
    </row>
    <row r="8" spans="1:17" ht="15" customHeight="1">
      <c r="A8" s="640"/>
      <c r="B8" s="552" t="s">
        <v>187</v>
      </c>
      <c r="C8" s="553"/>
      <c r="D8" s="553"/>
      <c r="E8" s="553"/>
      <c r="F8" s="554"/>
      <c r="G8" s="573"/>
      <c r="H8" s="574"/>
      <c r="I8" s="574"/>
      <c r="J8" s="574"/>
      <c r="K8" s="575"/>
    </row>
    <row r="9" spans="1:17" ht="15" customHeight="1">
      <c r="A9" s="640"/>
      <c r="B9" s="552" t="s">
        <v>188</v>
      </c>
      <c r="C9" s="553"/>
      <c r="D9" s="553"/>
      <c r="E9" s="553"/>
      <c r="F9" s="554"/>
      <c r="G9" s="573"/>
      <c r="H9" s="574"/>
      <c r="I9" s="574"/>
      <c r="J9" s="574"/>
      <c r="K9" s="575"/>
    </row>
    <row r="10" spans="1:17" ht="15" customHeight="1">
      <c r="A10" s="640"/>
      <c r="B10" s="552" t="s">
        <v>189</v>
      </c>
      <c r="C10" s="553"/>
      <c r="D10" s="553"/>
      <c r="E10" s="553"/>
      <c r="F10" s="554"/>
      <c r="G10" s="573"/>
      <c r="H10" s="574"/>
      <c r="I10" s="574"/>
      <c r="J10" s="574"/>
      <c r="K10" s="575"/>
    </row>
    <row r="11" spans="1:17" ht="15" customHeight="1">
      <c r="A11" s="640"/>
      <c r="B11" s="552" t="s">
        <v>190</v>
      </c>
      <c r="C11" s="553"/>
      <c r="D11" s="553"/>
      <c r="E11" s="553"/>
      <c r="F11" s="554"/>
      <c r="G11" s="590"/>
      <c r="H11" s="591"/>
      <c r="I11" s="591"/>
      <c r="J11" s="591"/>
      <c r="K11" s="592"/>
    </row>
    <row r="12" spans="1:17" ht="15" customHeight="1">
      <c r="A12" s="640"/>
      <c r="B12" s="552" t="s">
        <v>191</v>
      </c>
      <c r="C12" s="553"/>
      <c r="D12" s="553"/>
      <c r="E12" s="553"/>
      <c r="F12" s="554"/>
      <c r="G12" s="593"/>
      <c r="H12" s="594"/>
      <c r="I12" s="594"/>
      <c r="J12" s="594"/>
      <c r="K12" s="595"/>
    </row>
    <row r="13" spans="1:17" ht="15" customHeight="1">
      <c r="A13" s="640"/>
      <c r="B13" s="552" t="s">
        <v>192</v>
      </c>
      <c r="C13" s="553"/>
      <c r="D13" s="553"/>
      <c r="E13" s="553"/>
      <c r="F13" s="554"/>
      <c r="G13" s="587"/>
      <c r="H13" s="588"/>
      <c r="I13" s="588"/>
      <c r="J13" s="588"/>
      <c r="K13" s="589"/>
    </row>
    <row r="14" spans="1:17" ht="15" customHeight="1">
      <c r="A14" s="640"/>
      <c r="B14" s="552" t="s">
        <v>193</v>
      </c>
      <c r="C14" s="553"/>
      <c r="D14" s="553"/>
      <c r="E14" s="553"/>
      <c r="F14" s="554"/>
      <c r="G14" s="573"/>
      <c r="H14" s="574"/>
      <c r="I14" s="574"/>
      <c r="J14" s="574"/>
      <c r="K14" s="575"/>
    </row>
    <row r="15" spans="1:17" ht="15" customHeight="1">
      <c r="A15" s="640"/>
      <c r="B15" s="596" t="s">
        <v>194</v>
      </c>
      <c r="C15" s="597"/>
      <c r="D15" s="597"/>
      <c r="E15" s="597"/>
      <c r="F15" s="598"/>
      <c r="G15" s="599"/>
      <c r="H15" s="600"/>
      <c r="I15" s="600"/>
      <c r="J15" s="600"/>
      <c r="K15" s="601"/>
    </row>
    <row r="16" spans="1:17" ht="15" customHeight="1">
      <c r="A16" s="640"/>
      <c r="B16" s="602" t="s">
        <v>195</v>
      </c>
      <c r="C16" s="602"/>
      <c r="D16" s="602"/>
      <c r="E16" s="602"/>
      <c r="F16" s="602"/>
      <c r="G16" s="602"/>
      <c r="H16" s="602"/>
      <c r="I16" s="602"/>
      <c r="J16" s="603"/>
      <c r="K16" s="604"/>
    </row>
    <row r="17" spans="1:11" ht="30" customHeight="1">
      <c r="A17" s="640"/>
      <c r="B17" s="567" t="s">
        <v>196</v>
      </c>
      <c r="C17" s="568"/>
      <c r="D17" s="568"/>
      <c r="E17" s="568"/>
      <c r="F17" s="569"/>
      <c r="G17" s="605"/>
      <c r="H17" s="606"/>
      <c r="I17" s="606"/>
      <c r="J17" s="606"/>
      <c r="K17" s="607"/>
    </row>
    <row r="18" spans="1:11" ht="15" customHeight="1">
      <c r="A18" s="640"/>
      <c r="B18" s="552" t="s">
        <v>197</v>
      </c>
      <c r="C18" s="553"/>
      <c r="D18" s="553"/>
      <c r="E18" s="553"/>
      <c r="F18" s="554"/>
      <c r="G18" s="608"/>
      <c r="H18" s="609"/>
      <c r="I18" s="609"/>
      <c r="J18" s="609"/>
      <c r="K18" s="610"/>
    </row>
    <row r="19" spans="1:11" ht="15" customHeight="1">
      <c r="A19" s="640"/>
      <c r="B19" s="552" t="s">
        <v>198</v>
      </c>
      <c r="C19" s="553"/>
      <c r="D19" s="553"/>
      <c r="E19" s="553"/>
      <c r="F19" s="554"/>
      <c r="G19" s="608"/>
      <c r="H19" s="609"/>
      <c r="I19" s="609"/>
      <c r="J19" s="609"/>
      <c r="K19" s="610"/>
    </row>
    <row r="20" spans="1:11" ht="15" customHeight="1">
      <c r="A20" s="640"/>
      <c r="B20" s="552" t="s">
        <v>199</v>
      </c>
      <c r="C20" s="553"/>
      <c r="D20" s="553"/>
      <c r="E20" s="553"/>
      <c r="F20" s="554"/>
      <c r="G20" s="611"/>
      <c r="H20" s="612"/>
      <c r="I20" s="612"/>
      <c r="J20" s="612"/>
      <c r="K20" s="613"/>
    </row>
    <row r="21" spans="1:11" ht="15" customHeight="1">
      <c r="A21" s="641"/>
      <c r="B21" s="552" t="s">
        <v>200</v>
      </c>
      <c r="C21" s="553"/>
      <c r="D21" s="553"/>
      <c r="E21" s="553"/>
      <c r="F21" s="554"/>
      <c r="G21" s="614"/>
      <c r="H21" s="615"/>
      <c r="I21" s="615"/>
      <c r="J21" s="615"/>
      <c r="K21" s="616"/>
    </row>
    <row r="22" spans="1:11" ht="15" customHeight="1">
      <c r="A22" s="496" t="s">
        <v>87</v>
      </c>
      <c r="B22" s="564" t="s">
        <v>201</v>
      </c>
      <c r="C22" s="565"/>
      <c r="D22" s="565"/>
      <c r="E22" s="565"/>
      <c r="F22" s="565"/>
      <c r="G22" s="565"/>
      <c r="H22" s="565"/>
      <c r="I22" s="565"/>
      <c r="J22" s="565"/>
      <c r="K22" s="566"/>
    </row>
    <row r="23" spans="1:11" ht="15" customHeight="1">
      <c r="A23" s="527"/>
      <c r="B23" s="552" t="s">
        <v>202</v>
      </c>
      <c r="C23" s="553"/>
      <c r="D23" s="553"/>
      <c r="E23" s="553"/>
      <c r="F23" s="554"/>
      <c r="G23" s="617"/>
      <c r="H23" s="618"/>
      <c r="I23" s="618"/>
      <c r="J23" s="618"/>
      <c r="K23" s="619"/>
    </row>
    <row r="24" spans="1:11" ht="15" customHeight="1">
      <c r="A24" s="527"/>
      <c r="B24" s="552" t="s">
        <v>203</v>
      </c>
      <c r="C24" s="553"/>
      <c r="D24" s="553"/>
      <c r="E24" s="553"/>
      <c r="F24" s="554"/>
      <c r="G24" s="620"/>
      <c r="H24" s="621"/>
      <c r="I24" s="621"/>
      <c r="J24" s="621"/>
      <c r="K24" s="622"/>
    </row>
    <row r="25" spans="1:11" ht="15" customHeight="1">
      <c r="A25" s="527"/>
      <c r="B25" s="552" t="s">
        <v>204</v>
      </c>
      <c r="C25" s="553"/>
      <c r="D25" s="553"/>
      <c r="E25" s="553"/>
      <c r="F25" s="553"/>
      <c r="G25" s="553"/>
      <c r="H25" s="553"/>
      <c r="I25" s="554"/>
      <c r="J25" s="581"/>
      <c r="K25" s="582"/>
    </row>
    <row r="26" spans="1:11" ht="15" customHeight="1">
      <c r="A26" s="527"/>
      <c r="B26" s="552" t="s">
        <v>205</v>
      </c>
      <c r="C26" s="553"/>
      <c r="D26" s="553"/>
      <c r="E26" s="553"/>
      <c r="F26" s="553"/>
      <c r="G26" s="553"/>
      <c r="H26" s="553"/>
      <c r="I26" s="554"/>
      <c r="J26" s="581"/>
      <c r="K26" s="582"/>
    </row>
    <row r="27" spans="1:11" ht="15" customHeight="1">
      <c r="A27" s="527"/>
      <c r="B27" s="552" t="s">
        <v>206</v>
      </c>
      <c r="C27" s="553"/>
      <c r="D27" s="553"/>
      <c r="E27" s="553"/>
      <c r="F27" s="554"/>
      <c r="G27" s="623"/>
      <c r="H27" s="624"/>
      <c r="I27" s="624"/>
      <c r="J27" s="624"/>
      <c r="K27" s="625"/>
    </row>
    <row r="28" spans="1:11" ht="15" customHeight="1">
      <c r="A28" s="527"/>
      <c r="B28" s="552" t="s">
        <v>207</v>
      </c>
      <c r="C28" s="553"/>
      <c r="D28" s="553"/>
      <c r="E28" s="553"/>
      <c r="F28" s="553"/>
      <c r="G28" s="553"/>
      <c r="H28" s="553"/>
      <c r="I28" s="554"/>
      <c r="J28" s="581"/>
      <c r="K28" s="582"/>
    </row>
    <row r="29" spans="1:11" ht="39.950000000000003" customHeight="1">
      <c r="A29" s="497"/>
      <c r="B29" s="626" t="s">
        <v>208</v>
      </c>
      <c r="C29" s="627"/>
      <c r="D29" s="627"/>
      <c r="E29" s="627"/>
      <c r="F29" s="627"/>
      <c r="G29" s="627"/>
      <c r="H29" s="627"/>
      <c r="I29" s="627"/>
      <c r="J29" s="628"/>
      <c r="K29" s="70"/>
    </row>
    <row r="30" spans="1:11" ht="15" customHeight="1">
      <c r="A30" s="496" t="s">
        <v>124</v>
      </c>
      <c r="B30" s="564" t="s">
        <v>209</v>
      </c>
      <c r="C30" s="565"/>
      <c r="D30" s="565"/>
      <c r="E30" s="565"/>
      <c r="F30" s="565"/>
      <c r="G30" s="565"/>
      <c r="H30" s="565"/>
      <c r="I30" s="565"/>
      <c r="J30" s="565"/>
      <c r="K30" s="566"/>
    </row>
    <row r="31" spans="1:11" ht="30" customHeight="1">
      <c r="A31" s="527"/>
      <c r="B31" s="552" t="s">
        <v>210</v>
      </c>
      <c r="C31" s="553"/>
      <c r="D31" s="553"/>
      <c r="E31" s="553"/>
      <c r="F31" s="554"/>
      <c r="G31" s="629"/>
      <c r="H31" s="630"/>
      <c r="I31" s="630"/>
      <c r="J31" s="630"/>
      <c r="K31" s="631"/>
    </row>
    <row r="32" spans="1:11" ht="15" customHeight="1">
      <c r="A32" s="527"/>
      <c r="B32" s="552" t="s">
        <v>211</v>
      </c>
      <c r="C32" s="553"/>
      <c r="D32" s="553"/>
      <c r="E32" s="553"/>
      <c r="F32" s="554"/>
      <c r="G32" s="561"/>
      <c r="H32" s="562"/>
      <c r="I32" s="562"/>
      <c r="J32" s="562"/>
      <c r="K32" s="563"/>
    </row>
    <row r="33" spans="1:11" ht="15" customHeight="1">
      <c r="A33" s="497"/>
      <c r="B33" s="552" t="s">
        <v>212</v>
      </c>
      <c r="C33" s="553"/>
      <c r="D33" s="553"/>
      <c r="E33" s="553"/>
      <c r="F33" s="553"/>
      <c r="G33" s="553"/>
      <c r="H33" s="553"/>
      <c r="I33" s="553"/>
      <c r="J33" s="581"/>
      <c r="K33" s="582"/>
    </row>
    <row r="34" spans="1:11" ht="15" customHeight="1">
      <c r="A34" s="496" t="s">
        <v>213</v>
      </c>
      <c r="B34" s="564" t="s">
        <v>214</v>
      </c>
      <c r="C34" s="565"/>
      <c r="D34" s="565"/>
      <c r="E34" s="565"/>
      <c r="F34" s="565"/>
      <c r="G34" s="565"/>
      <c r="H34" s="565"/>
      <c r="I34" s="565"/>
      <c r="J34" s="565"/>
      <c r="K34" s="566"/>
    </row>
    <row r="35" spans="1:11" ht="15" customHeight="1">
      <c r="A35" s="527"/>
      <c r="B35" s="552" t="s">
        <v>215</v>
      </c>
      <c r="C35" s="553"/>
      <c r="D35" s="553"/>
      <c r="E35" s="553"/>
      <c r="F35" s="553"/>
      <c r="G35" s="553"/>
      <c r="H35" s="553"/>
      <c r="I35" s="554"/>
      <c r="J35" s="581"/>
      <c r="K35" s="582"/>
    </row>
    <row r="36" spans="1:11" ht="15" customHeight="1">
      <c r="A36" s="527"/>
      <c r="B36" s="552" t="s">
        <v>216</v>
      </c>
      <c r="C36" s="553"/>
      <c r="D36" s="553"/>
      <c r="E36" s="553"/>
      <c r="F36" s="554"/>
      <c r="G36" s="632"/>
      <c r="H36" s="633"/>
      <c r="I36" s="633"/>
      <c r="J36" s="633"/>
      <c r="K36" s="634"/>
    </row>
    <row r="37" spans="1:11" ht="15" customHeight="1">
      <c r="A37" s="497"/>
      <c r="B37" s="552" t="s">
        <v>217</v>
      </c>
      <c r="C37" s="553"/>
      <c r="D37" s="553"/>
      <c r="E37" s="553"/>
      <c r="F37" s="554"/>
      <c r="G37" s="635"/>
      <c r="H37" s="636"/>
      <c r="I37" s="636"/>
      <c r="J37" s="636"/>
      <c r="K37" s="637"/>
    </row>
    <row r="38" spans="1:11">
      <c r="A38" s="638"/>
      <c r="B38" s="638"/>
      <c r="C38" s="638"/>
      <c r="D38" s="638"/>
      <c r="E38" s="638"/>
      <c r="F38" s="638"/>
      <c r="G38" s="638"/>
      <c r="H38" s="638"/>
      <c r="I38" s="638"/>
      <c r="J38" s="638"/>
      <c r="K38" s="638"/>
    </row>
  </sheetData>
  <sheetProtection password="CF4A" sheet="1" formatRows="0" selectLockedCells="1"/>
  <mergeCells count="71">
    <mergeCell ref="A22:A29"/>
    <mergeCell ref="A30:A33"/>
    <mergeCell ref="A34:A37"/>
    <mergeCell ref="B36:F36"/>
    <mergeCell ref="G36:K36"/>
    <mergeCell ref="B37:F37"/>
    <mergeCell ref="G37:K37"/>
    <mergeCell ref="A38:K38"/>
    <mergeCell ref="B33:I33"/>
    <mergeCell ref="J33:K33"/>
    <mergeCell ref="B34:K34"/>
    <mergeCell ref="B35:I35"/>
    <mergeCell ref="J35:K35"/>
    <mergeCell ref="B30:K30"/>
    <mergeCell ref="B31:F31"/>
    <mergeCell ref="G31:K31"/>
    <mergeCell ref="B32:F32"/>
    <mergeCell ref="G32:K32"/>
    <mergeCell ref="B27:F27"/>
    <mergeCell ref="G27:K27"/>
    <mergeCell ref="B28:I28"/>
    <mergeCell ref="J28:K28"/>
    <mergeCell ref="B29:J29"/>
    <mergeCell ref="B24:F24"/>
    <mergeCell ref="G24:K24"/>
    <mergeCell ref="B25:I25"/>
    <mergeCell ref="J25:K25"/>
    <mergeCell ref="B26:I26"/>
    <mergeCell ref="J26:K26"/>
    <mergeCell ref="B21:F21"/>
    <mergeCell ref="G21:K21"/>
    <mergeCell ref="B22:K22"/>
    <mergeCell ref="B23:F23"/>
    <mergeCell ref="G23:K23"/>
    <mergeCell ref="B18:F18"/>
    <mergeCell ref="G18:K18"/>
    <mergeCell ref="B19:F19"/>
    <mergeCell ref="G19:K19"/>
    <mergeCell ref="B20:F20"/>
    <mergeCell ref="G20:K20"/>
    <mergeCell ref="B15:F15"/>
    <mergeCell ref="G15:K15"/>
    <mergeCell ref="B16:I16"/>
    <mergeCell ref="J16:K16"/>
    <mergeCell ref="B17:F17"/>
    <mergeCell ref="G17:K17"/>
    <mergeCell ref="B12:F12"/>
    <mergeCell ref="G12:K12"/>
    <mergeCell ref="B13:F13"/>
    <mergeCell ref="G13:K13"/>
    <mergeCell ref="B14:F14"/>
    <mergeCell ref="G14:K14"/>
    <mergeCell ref="B9:F9"/>
    <mergeCell ref="G9:K9"/>
    <mergeCell ref="B10:F10"/>
    <mergeCell ref="G10:K10"/>
    <mergeCell ref="B11:F11"/>
    <mergeCell ref="G11:K11"/>
    <mergeCell ref="B6:F6"/>
    <mergeCell ref="G6:K6"/>
    <mergeCell ref="B7:F7"/>
    <mergeCell ref="G7:K7"/>
    <mergeCell ref="B8:F8"/>
    <mergeCell ref="G8:K8"/>
    <mergeCell ref="A1:K1"/>
    <mergeCell ref="A2:K2"/>
    <mergeCell ref="B3:K3"/>
    <mergeCell ref="B4:K4"/>
    <mergeCell ref="B5:K5"/>
    <mergeCell ref="A3:A4"/>
    <mergeCell ref="A5:A21"/>
  </mergeCells>
  <dataValidations count="13">
    <dataValidation type="whole" operator="greaterThan" allowBlank="1" showInputMessage="1" showErrorMessage="1" errorTitle="Некорректный ввод данных." error="Количество холодильных контуров должно иметь числовое значение и не может быть меньше или равно 0." sqref="G6:K6" xr:uid="{00000000-0002-0000-0500-000000000000}">
      <formula1>0</formula1>
    </dataValidation>
    <dataValidation type="whole" operator="greaterThan" allowBlank="1" showInputMessage="1" showErrorMessage="1" errorTitle="Некорректный ввод данных." error="Количество холодильных камер должно иметь числовое значение и не может быть меньше или равно 0." sqref="G7:K7" xr:uid="{00000000-0002-0000-0500-000001000000}">
      <formula1>0</formula1>
    </dataValidation>
    <dataValidation type="decimal" operator="greaterThan" allowBlank="1" showInputMessage="1" showErrorMessage="1" errorTitle="Некорректный ввод данных." error="Объем камер должен иметь числовое значение и не может быть меньше или равен 0." sqref="G8:K8" xr:uid="{00000000-0002-0000-0500-000002000000}">
      <formula1>0</formula1>
    </dataValidation>
    <dataValidation type="decimal" operator="greaterThan" allowBlank="1" showInputMessage="1" showErrorMessage="1" errorTitle="Некорректный ввод данных." error="Общая площадь должна иметь числовое значение и не может быть меньше или равна 0." sqref="G9:K9" xr:uid="{00000000-0002-0000-0500-000003000000}">
      <formula1>0</formula1>
    </dataValidation>
    <dataValidation type="decimal" operator="greaterThan" allowBlank="1" showInputMessage="1" showErrorMessage="1" errorTitle="Некорректный ввод данных." error="Высота должна иметь числовое значение и не может быть меньше или равна 0." sqref="G10:K10" xr:uid="{00000000-0002-0000-0500-000004000000}">
      <formula1>0</formula1>
    </dataValidation>
    <dataValidation type="whole" allowBlank="1" showInputMessage="1" showErrorMessage="1" errorTitle="Некорректный ввод данных." error="Содержание СО2 должно иметь числовое значение и не может быть меньше 0 или больше 100%." sqref="G12:K12" xr:uid="{00000000-0002-0000-0500-000005000000}">
      <formula1>0</formula1>
      <formula2>100</formula2>
    </dataValidation>
    <dataValidation type="whole" allowBlank="1" showInputMessage="1" showErrorMessage="1" errorTitle="Некорректный ввод данных." error="Содержание О2 должно иметь числовое значение и не может быть меньше 0 или больше 100%." sqref="G13:K13" xr:uid="{00000000-0002-0000-0500-000006000000}">
      <formula1>0</formula1>
      <formula2>100</formula2>
    </dataValidation>
    <dataValidation type="decimal" allowBlank="1" showInputMessage="1" showErrorMessage="1" errorTitle="Некорректный ввод данных." error="Относительная влажность воздуха должна иметь числовое значение и не может быть меньше 0 или больше 100%." sqref="G14:K14" xr:uid="{00000000-0002-0000-0500-000007000000}">
      <formula1>0</formula1>
      <formula2>100</formula2>
    </dataValidation>
    <dataValidation type="decimal" allowBlank="1" showInputMessage="1" showErrorMessage="1" errorTitle="Некорректный ввод данных." error="Давление воздуха должно иметь числовое значение от -10 000 до 10 000." sqref="G15:K15" xr:uid="{00000000-0002-0000-0500-000008000000}">
      <formula1>-10000</formula1>
      <formula2>10000</formula2>
    </dataValidation>
    <dataValidation type="whole" operator="greaterThan" allowBlank="1" showInputMessage="1" showErrorMessage="1" errorTitle="Некорректный ввод данных." error="Количество электрических вводов должно иметь числовое значение и не может быть меньше или равно 0." sqref="G17:K17" xr:uid="{00000000-0002-0000-0500-000009000000}">
      <formula1>0</formula1>
    </dataValidation>
    <dataValidation type="decimal" operator="greaterThan" allowBlank="1" showInputMessage="1" showErrorMessage="1" errorTitle="Некорректный ввод данных." error="Беспретензионный период должен иметь числовое значение и не может быть меньше или равен 0." sqref="K29" xr:uid="{00000000-0002-0000-0500-00000B000000}">
      <formula1>0</formula1>
    </dataValidation>
    <dataValidation type="decimal" operator="greaterThan" allowBlank="1" showInputMessage="1" showErrorMessage="1" errorTitle="Некорректный ввод данных." error="Интервалы контроля должны иметь числовое значение и не могут быть меньше или равны 0." sqref="G32:K32" xr:uid="{00000000-0002-0000-0500-00000C000000}">
      <formula1>0</formula1>
    </dataValidation>
    <dataValidation type="whole" allowBlank="1" showInputMessage="1" showErrorMessage="1" errorTitle="Некорректный ввод данных." error="Процент товара должен иметь числовое значение и не может быть меньше 0 или больше 100%." sqref="G37:K37" xr:uid="{00000000-0002-0000-0500-00000D000000}">
      <formula1>0</formula1>
      <formula2>100</formula2>
    </dataValidation>
  </dataValidations>
  <pageMargins left="0.70866141732283505" right="0.70866141732283505" top="0.74803149606299202" bottom="0.74803149606299202" header="0.31496062992126" footer="0.31496062992126"/>
  <pageSetup paperSize="9" scale="70" orientation="portrait" blackAndWhite="1" r:id="rId1"/>
  <headerFooter>
    <oddFooter>&amp;RПодпись:  __________________ М.П.            
/___________________________ /  (Ф.И.О. должность)</oddFooter>
  </headerFooter>
  <colBreaks count="1" manualBreakCount="1">
    <brk id="17"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9484" r:id="rId4" name="Option Button 28">
              <controlPr defaultSize="0" autoPict="0">
                <anchor moveWithCells="1">
                  <from>
                    <xdr:col>9</xdr:col>
                    <xdr:colOff>47625</xdr:colOff>
                    <xdr:row>24</xdr:row>
                    <xdr:rowOff>38100</xdr:rowOff>
                  </from>
                  <to>
                    <xdr:col>9</xdr:col>
                    <xdr:colOff>466725</xdr:colOff>
                    <xdr:row>24</xdr:row>
                    <xdr:rowOff>152400</xdr:rowOff>
                  </to>
                </anchor>
              </controlPr>
            </control>
          </mc:Choice>
        </mc:AlternateContent>
        <mc:AlternateContent xmlns:mc="http://schemas.openxmlformats.org/markup-compatibility/2006">
          <mc:Choice Requires="x14">
            <control shapeId="19485" r:id="rId5" name="Option Button 29">
              <controlPr defaultSize="0" autoPict="0">
                <anchor moveWithCells="1">
                  <from>
                    <xdr:col>9</xdr:col>
                    <xdr:colOff>533400</xdr:colOff>
                    <xdr:row>24</xdr:row>
                    <xdr:rowOff>19050</xdr:rowOff>
                  </from>
                  <to>
                    <xdr:col>10</xdr:col>
                    <xdr:colOff>238125</xdr:colOff>
                    <xdr:row>24</xdr:row>
                    <xdr:rowOff>161925</xdr:rowOff>
                  </to>
                </anchor>
              </controlPr>
            </control>
          </mc:Choice>
        </mc:AlternateContent>
        <mc:AlternateContent xmlns:mc="http://schemas.openxmlformats.org/markup-compatibility/2006">
          <mc:Choice Requires="x14">
            <control shapeId="19487" r:id="rId6" name="Option Button 31">
              <controlPr defaultSize="0" autoPict="0">
                <anchor moveWithCells="1">
                  <from>
                    <xdr:col>9</xdr:col>
                    <xdr:colOff>47625</xdr:colOff>
                    <xdr:row>25</xdr:row>
                    <xdr:rowOff>19050</xdr:rowOff>
                  </from>
                  <to>
                    <xdr:col>9</xdr:col>
                    <xdr:colOff>400050</xdr:colOff>
                    <xdr:row>25</xdr:row>
                    <xdr:rowOff>152400</xdr:rowOff>
                  </to>
                </anchor>
              </controlPr>
            </control>
          </mc:Choice>
        </mc:AlternateContent>
        <mc:AlternateContent xmlns:mc="http://schemas.openxmlformats.org/markup-compatibility/2006">
          <mc:Choice Requires="x14">
            <control shapeId="19488" r:id="rId7" name="Option Button 32">
              <controlPr defaultSize="0" autoPict="0">
                <anchor moveWithCells="1">
                  <from>
                    <xdr:col>9</xdr:col>
                    <xdr:colOff>533400</xdr:colOff>
                    <xdr:row>25</xdr:row>
                    <xdr:rowOff>28575</xdr:rowOff>
                  </from>
                  <to>
                    <xdr:col>10</xdr:col>
                    <xdr:colOff>247650</xdr:colOff>
                    <xdr:row>25</xdr:row>
                    <xdr:rowOff>152400</xdr:rowOff>
                  </to>
                </anchor>
              </controlPr>
            </control>
          </mc:Choice>
        </mc:AlternateContent>
        <mc:AlternateContent xmlns:mc="http://schemas.openxmlformats.org/markup-compatibility/2006">
          <mc:Choice Requires="x14">
            <control shapeId="19489" r:id="rId8" name="Option Button 33">
              <controlPr defaultSize="0" autoPict="0">
                <anchor moveWithCells="1">
                  <from>
                    <xdr:col>9</xdr:col>
                    <xdr:colOff>57150</xdr:colOff>
                    <xdr:row>27</xdr:row>
                    <xdr:rowOff>19050</xdr:rowOff>
                  </from>
                  <to>
                    <xdr:col>9</xdr:col>
                    <xdr:colOff>447675</xdr:colOff>
                    <xdr:row>27</xdr:row>
                    <xdr:rowOff>171450</xdr:rowOff>
                  </to>
                </anchor>
              </controlPr>
            </control>
          </mc:Choice>
        </mc:AlternateContent>
        <mc:AlternateContent xmlns:mc="http://schemas.openxmlformats.org/markup-compatibility/2006">
          <mc:Choice Requires="x14">
            <control shapeId="19490" r:id="rId9" name="Option Button 34">
              <controlPr defaultSize="0" autoPict="0">
                <anchor moveWithCells="1">
                  <from>
                    <xdr:col>9</xdr:col>
                    <xdr:colOff>542925</xdr:colOff>
                    <xdr:row>27</xdr:row>
                    <xdr:rowOff>9525</xdr:rowOff>
                  </from>
                  <to>
                    <xdr:col>10</xdr:col>
                    <xdr:colOff>228600</xdr:colOff>
                    <xdr:row>27</xdr:row>
                    <xdr:rowOff>171450</xdr:rowOff>
                  </to>
                </anchor>
              </controlPr>
            </control>
          </mc:Choice>
        </mc:AlternateContent>
        <mc:AlternateContent xmlns:mc="http://schemas.openxmlformats.org/markup-compatibility/2006">
          <mc:Choice Requires="x14">
            <control shapeId="19491" r:id="rId10" name="Option Button 35">
              <controlPr defaultSize="0" autoPict="0">
                <anchor moveWithCells="1">
                  <from>
                    <xdr:col>9</xdr:col>
                    <xdr:colOff>57150</xdr:colOff>
                    <xdr:row>32</xdr:row>
                    <xdr:rowOff>19050</xdr:rowOff>
                  </from>
                  <to>
                    <xdr:col>9</xdr:col>
                    <xdr:colOff>457200</xdr:colOff>
                    <xdr:row>32</xdr:row>
                    <xdr:rowOff>152400</xdr:rowOff>
                  </to>
                </anchor>
              </controlPr>
            </control>
          </mc:Choice>
        </mc:AlternateContent>
        <mc:AlternateContent xmlns:mc="http://schemas.openxmlformats.org/markup-compatibility/2006">
          <mc:Choice Requires="x14">
            <control shapeId="19492" r:id="rId11" name="Option Button 36">
              <controlPr defaultSize="0" autoPict="0">
                <anchor moveWithCells="1">
                  <from>
                    <xdr:col>9</xdr:col>
                    <xdr:colOff>552450</xdr:colOff>
                    <xdr:row>32</xdr:row>
                    <xdr:rowOff>19050</xdr:rowOff>
                  </from>
                  <to>
                    <xdr:col>10</xdr:col>
                    <xdr:colOff>285750</xdr:colOff>
                    <xdr:row>32</xdr:row>
                    <xdr:rowOff>161925</xdr:rowOff>
                  </to>
                </anchor>
              </controlPr>
            </control>
          </mc:Choice>
        </mc:AlternateContent>
        <mc:AlternateContent xmlns:mc="http://schemas.openxmlformats.org/markup-compatibility/2006">
          <mc:Choice Requires="x14">
            <control shapeId="19493" r:id="rId12" name="Option Button 37">
              <controlPr defaultSize="0" autoPict="0">
                <anchor moveWithCells="1">
                  <from>
                    <xdr:col>9</xdr:col>
                    <xdr:colOff>66675</xdr:colOff>
                    <xdr:row>34</xdr:row>
                    <xdr:rowOff>19050</xdr:rowOff>
                  </from>
                  <to>
                    <xdr:col>9</xdr:col>
                    <xdr:colOff>476250</xdr:colOff>
                    <xdr:row>34</xdr:row>
                    <xdr:rowOff>161925</xdr:rowOff>
                  </to>
                </anchor>
              </controlPr>
            </control>
          </mc:Choice>
        </mc:AlternateContent>
        <mc:AlternateContent xmlns:mc="http://schemas.openxmlformats.org/markup-compatibility/2006">
          <mc:Choice Requires="x14">
            <control shapeId="19494" r:id="rId13" name="Option Button 38">
              <controlPr defaultSize="0" autoPict="0">
                <anchor moveWithCells="1">
                  <from>
                    <xdr:col>9</xdr:col>
                    <xdr:colOff>561975</xdr:colOff>
                    <xdr:row>34</xdr:row>
                    <xdr:rowOff>28575</xdr:rowOff>
                  </from>
                  <to>
                    <xdr:col>10</xdr:col>
                    <xdr:colOff>304800</xdr:colOff>
                    <xdr:row>34</xdr:row>
                    <xdr:rowOff>171450</xdr:rowOff>
                  </to>
                </anchor>
              </controlPr>
            </control>
          </mc:Choice>
        </mc:AlternateContent>
        <mc:AlternateContent xmlns:mc="http://schemas.openxmlformats.org/markup-compatibility/2006">
          <mc:Choice Requires="x14">
            <control shapeId="19503" r:id="rId14" name="Check Box 47">
              <controlPr defaultSize="0" autoPict="0">
                <anchor moveWithCells="1">
                  <from>
                    <xdr:col>1</xdr:col>
                    <xdr:colOff>9525</xdr:colOff>
                    <xdr:row>3</xdr:row>
                    <xdr:rowOff>381000</xdr:rowOff>
                  </from>
                  <to>
                    <xdr:col>10</xdr:col>
                    <xdr:colOff>685800</xdr:colOff>
                    <xdr:row>3</xdr:row>
                    <xdr:rowOff>723900</xdr:rowOff>
                  </to>
                </anchor>
              </controlPr>
            </control>
          </mc:Choice>
        </mc:AlternateContent>
        <mc:AlternateContent xmlns:mc="http://schemas.openxmlformats.org/markup-compatibility/2006">
          <mc:Choice Requires="x14">
            <control shapeId="19504" r:id="rId15" name="Check Box 48">
              <controlPr defaultSize="0" autoPict="0">
                <anchor moveWithCells="1">
                  <from>
                    <xdr:col>1</xdr:col>
                    <xdr:colOff>9525</xdr:colOff>
                    <xdr:row>3</xdr:row>
                    <xdr:rowOff>19050</xdr:rowOff>
                  </from>
                  <to>
                    <xdr:col>10</xdr:col>
                    <xdr:colOff>695325</xdr:colOff>
                    <xdr:row>3</xdr:row>
                    <xdr:rowOff>381000</xdr:rowOff>
                  </to>
                </anchor>
              </controlPr>
            </control>
          </mc:Choice>
        </mc:AlternateContent>
        <mc:AlternateContent xmlns:mc="http://schemas.openxmlformats.org/markup-compatibility/2006">
          <mc:Choice Requires="x14">
            <control shapeId="19505" r:id="rId16" name="Group Box 49">
              <controlPr defaultSize="0" autoPict="0">
                <anchor moveWithCells="1">
                  <from>
                    <xdr:col>9</xdr:col>
                    <xdr:colOff>0</xdr:colOff>
                    <xdr:row>24</xdr:row>
                    <xdr:rowOff>0</xdr:rowOff>
                  </from>
                  <to>
                    <xdr:col>11</xdr:col>
                    <xdr:colOff>0</xdr:colOff>
                    <xdr:row>25</xdr:row>
                    <xdr:rowOff>0</xdr:rowOff>
                  </to>
                </anchor>
              </controlPr>
            </control>
          </mc:Choice>
        </mc:AlternateContent>
        <mc:AlternateContent xmlns:mc="http://schemas.openxmlformats.org/markup-compatibility/2006">
          <mc:Choice Requires="x14">
            <control shapeId="19506" r:id="rId17" name="Group Box 50">
              <controlPr defaultSize="0" autoPict="0">
                <anchor moveWithCells="1">
                  <from>
                    <xdr:col>9</xdr:col>
                    <xdr:colOff>0</xdr:colOff>
                    <xdr:row>25</xdr:row>
                    <xdr:rowOff>0</xdr:rowOff>
                  </from>
                  <to>
                    <xdr:col>11</xdr:col>
                    <xdr:colOff>0</xdr:colOff>
                    <xdr:row>26</xdr:row>
                    <xdr:rowOff>0</xdr:rowOff>
                  </to>
                </anchor>
              </controlPr>
            </control>
          </mc:Choice>
        </mc:AlternateContent>
        <mc:AlternateContent xmlns:mc="http://schemas.openxmlformats.org/markup-compatibility/2006">
          <mc:Choice Requires="x14">
            <control shapeId="19507" r:id="rId18" name="Group Box 51">
              <controlPr defaultSize="0" autoPict="0">
                <anchor moveWithCells="1">
                  <from>
                    <xdr:col>9</xdr:col>
                    <xdr:colOff>0</xdr:colOff>
                    <xdr:row>27</xdr:row>
                    <xdr:rowOff>0</xdr:rowOff>
                  </from>
                  <to>
                    <xdr:col>11</xdr:col>
                    <xdr:colOff>0</xdr:colOff>
                    <xdr:row>28</xdr:row>
                    <xdr:rowOff>0</xdr:rowOff>
                  </to>
                </anchor>
              </controlPr>
            </control>
          </mc:Choice>
        </mc:AlternateContent>
        <mc:AlternateContent xmlns:mc="http://schemas.openxmlformats.org/markup-compatibility/2006">
          <mc:Choice Requires="x14">
            <control shapeId="19508" r:id="rId19" name="Group Box 52">
              <controlPr defaultSize="0" autoPict="0">
                <anchor moveWithCells="1">
                  <from>
                    <xdr:col>9</xdr:col>
                    <xdr:colOff>0</xdr:colOff>
                    <xdr:row>32</xdr:row>
                    <xdr:rowOff>0</xdr:rowOff>
                  </from>
                  <to>
                    <xdr:col>11</xdr:col>
                    <xdr:colOff>0</xdr:colOff>
                    <xdr:row>33</xdr:row>
                    <xdr:rowOff>0</xdr:rowOff>
                  </to>
                </anchor>
              </controlPr>
            </control>
          </mc:Choice>
        </mc:AlternateContent>
        <mc:AlternateContent xmlns:mc="http://schemas.openxmlformats.org/markup-compatibility/2006">
          <mc:Choice Requires="x14">
            <control shapeId="19509" r:id="rId20" name="Group Box 53">
              <controlPr defaultSize="0" autoPict="0">
                <anchor moveWithCells="1">
                  <from>
                    <xdr:col>9</xdr:col>
                    <xdr:colOff>0</xdr:colOff>
                    <xdr:row>34</xdr:row>
                    <xdr:rowOff>0</xdr:rowOff>
                  </from>
                  <to>
                    <xdr:col>11</xdr:col>
                    <xdr:colOff>0</xdr:colOff>
                    <xdr:row>35</xdr:row>
                    <xdr:rowOff>0</xdr:rowOff>
                  </to>
                </anchor>
              </controlPr>
            </control>
          </mc:Choice>
        </mc:AlternateContent>
        <mc:AlternateContent xmlns:mc="http://schemas.openxmlformats.org/markup-compatibility/2006">
          <mc:Choice Requires="x14">
            <control shapeId="19510" r:id="rId21" name="Option Button 54">
              <controlPr defaultSize="0" autoPict="0">
                <anchor moveWithCells="1">
                  <from>
                    <xdr:col>9</xdr:col>
                    <xdr:colOff>19050</xdr:colOff>
                    <xdr:row>15</xdr:row>
                    <xdr:rowOff>28575</xdr:rowOff>
                  </from>
                  <to>
                    <xdr:col>9</xdr:col>
                    <xdr:colOff>400050</xdr:colOff>
                    <xdr:row>15</xdr:row>
                    <xdr:rowOff>161925</xdr:rowOff>
                  </to>
                </anchor>
              </controlPr>
            </control>
          </mc:Choice>
        </mc:AlternateContent>
        <mc:AlternateContent xmlns:mc="http://schemas.openxmlformats.org/markup-compatibility/2006">
          <mc:Choice Requires="x14">
            <control shapeId="19511" r:id="rId22" name="Option Button 55">
              <controlPr defaultSize="0" autoPict="0">
                <anchor moveWithCells="1">
                  <from>
                    <xdr:col>9</xdr:col>
                    <xdr:colOff>542925</xdr:colOff>
                    <xdr:row>15</xdr:row>
                    <xdr:rowOff>19050</xdr:rowOff>
                  </from>
                  <to>
                    <xdr:col>10</xdr:col>
                    <xdr:colOff>209550</xdr:colOff>
                    <xdr:row>15</xdr:row>
                    <xdr:rowOff>171450</xdr:rowOff>
                  </to>
                </anchor>
              </controlPr>
            </control>
          </mc:Choice>
        </mc:AlternateContent>
        <mc:AlternateContent xmlns:mc="http://schemas.openxmlformats.org/markup-compatibility/2006">
          <mc:Choice Requires="x14">
            <control shapeId="19512" r:id="rId23" name="Group Box 56">
              <controlPr defaultSize="0" autoPict="0">
                <anchor moveWithCells="1">
                  <from>
                    <xdr:col>9</xdr:col>
                    <xdr:colOff>0</xdr:colOff>
                    <xdr:row>15</xdr:row>
                    <xdr:rowOff>0</xdr:rowOff>
                  </from>
                  <to>
                    <xdr:col>11</xdr:col>
                    <xdr:colOff>0</xdr:colOff>
                    <xdr:row>16</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date" allowBlank="1" showInputMessage="1" showErrorMessage="1" errorTitle="Некорректный ввод данных." error="Используйте формат ДД.ММ.ГГГГ._x000a_Дата не может быть больше текущей даты." xr:uid="{00000000-0002-0000-0500-00000A000000}">
          <x14:formula1>
            <xm:f>1</xm:f>
          </x14:formula1>
          <x14:formula2>
            <xm:f>Export!F1048575</xm:f>
          </x14:formula2>
          <xm:sqref>G23:K23 G20:K21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7"/>
  <dimension ref="A1:K33"/>
  <sheetViews>
    <sheetView view="pageBreakPreview" zoomScaleNormal="100" zoomScalePageLayoutView="115" workbookViewId="0">
      <pane ySplit="1" topLeftCell="A2" activePane="bottomLeft" state="frozen"/>
      <selection pane="bottomLeft" activeCell="H4" sqref="H4:K4"/>
    </sheetView>
  </sheetViews>
  <sheetFormatPr defaultColWidth="9" defaultRowHeight="15"/>
  <cols>
    <col min="1" max="1" width="6.7109375" customWidth="1"/>
    <col min="2" max="11" width="10.7109375" customWidth="1"/>
  </cols>
  <sheetData>
    <row r="1" spans="1:11" ht="35.1" customHeight="1">
      <c r="A1" s="642" t="s">
        <v>218</v>
      </c>
      <c r="B1" s="642"/>
      <c r="C1" s="642"/>
      <c r="D1" s="642"/>
      <c r="E1" s="642"/>
      <c r="F1" s="642"/>
      <c r="G1" s="642"/>
      <c r="H1" s="642"/>
      <c r="I1" s="642"/>
      <c r="J1" s="642"/>
      <c r="K1" s="642"/>
    </row>
    <row r="2" spans="1:11" ht="5.0999999999999996" customHeight="1">
      <c r="A2" s="455"/>
      <c r="B2" s="455"/>
      <c r="C2" s="455"/>
      <c r="D2" s="455"/>
      <c r="E2" s="455"/>
      <c r="F2" s="455"/>
      <c r="G2" s="455"/>
      <c r="H2" s="455"/>
      <c r="I2" s="455"/>
      <c r="J2" s="455"/>
      <c r="K2" s="455"/>
    </row>
    <row r="3" spans="1:11" ht="30" customHeight="1">
      <c r="A3" s="496" t="s">
        <v>152</v>
      </c>
      <c r="B3" s="552" t="s">
        <v>219</v>
      </c>
      <c r="C3" s="553"/>
      <c r="D3" s="553"/>
      <c r="E3" s="553"/>
      <c r="F3" s="553"/>
      <c r="G3" s="553"/>
      <c r="H3" s="553"/>
      <c r="I3" s="554"/>
      <c r="J3" s="643"/>
      <c r="K3" s="644"/>
    </row>
    <row r="4" spans="1:11" ht="30" customHeight="1">
      <c r="A4" s="527"/>
      <c r="B4" s="567" t="s">
        <v>220</v>
      </c>
      <c r="C4" s="568"/>
      <c r="D4" s="568"/>
      <c r="E4" s="568"/>
      <c r="F4" s="568"/>
      <c r="G4" s="569"/>
      <c r="H4" s="623"/>
      <c r="I4" s="624"/>
      <c r="J4" s="645"/>
      <c r="K4" s="646"/>
    </row>
    <row r="5" spans="1:11" ht="30" customHeight="1">
      <c r="A5" s="527"/>
      <c r="B5" s="596" t="s">
        <v>221</v>
      </c>
      <c r="C5" s="597"/>
      <c r="D5" s="597"/>
      <c r="E5" s="597"/>
      <c r="F5" s="597"/>
      <c r="G5" s="597"/>
      <c r="H5" s="647"/>
      <c r="I5" s="648"/>
      <c r="J5" s="649"/>
      <c r="K5" s="650"/>
    </row>
    <row r="6" spans="1:11" ht="15" customHeight="1">
      <c r="A6" s="527"/>
      <c r="B6" s="602" t="s">
        <v>222</v>
      </c>
      <c r="C6" s="602"/>
      <c r="D6" s="602"/>
      <c r="E6" s="602"/>
      <c r="F6" s="602"/>
      <c r="G6" s="602"/>
      <c r="H6" s="602"/>
      <c r="I6" s="602"/>
      <c r="J6" s="651"/>
      <c r="K6" s="651"/>
    </row>
    <row r="7" spans="1:11" ht="29.25" customHeight="1">
      <c r="A7" s="527"/>
      <c r="B7" s="602" t="s">
        <v>223</v>
      </c>
      <c r="C7" s="602"/>
      <c r="D7" s="602"/>
      <c r="E7" s="602"/>
      <c r="F7" s="602"/>
      <c r="G7" s="602"/>
      <c r="H7" s="602"/>
      <c r="I7" s="602"/>
      <c r="J7" s="651"/>
      <c r="K7" s="651"/>
    </row>
    <row r="8" spans="1:11" ht="15" customHeight="1">
      <c r="A8" s="527"/>
      <c r="B8" s="602" t="s">
        <v>224</v>
      </c>
      <c r="C8" s="602"/>
      <c r="D8" s="602"/>
      <c r="E8" s="602"/>
      <c r="F8" s="602"/>
      <c r="G8" s="602"/>
      <c r="H8" s="652"/>
      <c r="I8" s="652"/>
      <c r="J8" s="652"/>
      <c r="K8" s="652"/>
    </row>
    <row r="9" spans="1:11" ht="15" customHeight="1">
      <c r="A9" s="527"/>
      <c r="B9" s="602" t="s">
        <v>225</v>
      </c>
      <c r="C9" s="602"/>
      <c r="D9" s="602"/>
      <c r="E9" s="602"/>
      <c r="F9" s="602"/>
      <c r="G9" s="602"/>
      <c r="H9" s="602"/>
      <c r="I9" s="602"/>
      <c r="J9" s="651"/>
      <c r="K9" s="651"/>
    </row>
    <row r="10" spans="1:11" ht="15" customHeight="1">
      <c r="A10" s="527"/>
      <c r="B10" s="602" t="s">
        <v>226</v>
      </c>
      <c r="C10" s="602"/>
      <c r="D10" s="602"/>
      <c r="E10" s="602"/>
      <c r="F10" s="602"/>
      <c r="G10" s="602"/>
      <c r="H10" s="602"/>
      <c r="I10" s="602"/>
      <c r="J10" s="651"/>
      <c r="K10" s="651"/>
    </row>
    <row r="11" spans="1:11" ht="15" customHeight="1">
      <c r="A11" s="527"/>
      <c r="B11" s="602" t="s">
        <v>227</v>
      </c>
      <c r="C11" s="602"/>
      <c r="D11" s="602"/>
      <c r="E11" s="602"/>
      <c r="F11" s="602"/>
      <c r="G11" s="602"/>
      <c r="H11" s="602"/>
      <c r="I11" s="602"/>
      <c r="J11" s="651"/>
      <c r="K11" s="651"/>
    </row>
    <row r="12" spans="1:11" ht="15" customHeight="1">
      <c r="A12" s="527"/>
      <c r="B12" s="602" t="s">
        <v>228</v>
      </c>
      <c r="C12" s="602"/>
      <c r="D12" s="602"/>
      <c r="E12" s="602"/>
      <c r="F12" s="602"/>
      <c r="G12" s="602"/>
      <c r="H12" s="602"/>
      <c r="I12" s="602"/>
      <c r="J12" s="651"/>
      <c r="K12" s="651"/>
    </row>
    <row r="13" spans="1:11" ht="15" customHeight="1">
      <c r="A13" s="527"/>
      <c r="B13" s="602" t="s">
        <v>229</v>
      </c>
      <c r="C13" s="602"/>
      <c r="D13" s="602"/>
      <c r="E13" s="602"/>
      <c r="F13" s="602"/>
      <c r="G13" s="602"/>
      <c r="H13" s="602"/>
      <c r="I13" s="602"/>
      <c r="J13" s="651"/>
      <c r="K13" s="651"/>
    </row>
    <row r="14" spans="1:11" ht="29.25" customHeight="1">
      <c r="A14" s="527"/>
      <c r="B14" s="602" t="s">
        <v>230</v>
      </c>
      <c r="C14" s="602"/>
      <c r="D14" s="602"/>
      <c r="E14" s="602"/>
      <c r="F14" s="602"/>
      <c r="G14" s="602"/>
      <c r="H14" s="602"/>
      <c r="I14" s="602"/>
      <c r="J14" s="651"/>
      <c r="K14" s="651"/>
    </row>
    <row r="15" spans="1:11" ht="15" customHeight="1">
      <c r="A15" s="527"/>
      <c r="B15" s="602" t="s">
        <v>231</v>
      </c>
      <c r="C15" s="602"/>
      <c r="D15" s="602"/>
      <c r="E15" s="602"/>
      <c r="F15" s="602"/>
      <c r="G15" s="602"/>
      <c r="H15" s="602"/>
      <c r="I15" s="602"/>
      <c r="J15" s="651"/>
      <c r="K15" s="651"/>
    </row>
    <row r="16" spans="1:11" ht="15" customHeight="1">
      <c r="A16" s="527"/>
      <c r="B16" s="602" t="s">
        <v>232</v>
      </c>
      <c r="C16" s="602"/>
      <c r="D16" s="602"/>
      <c r="E16" s="602"/>
      <c r="F16" s="602"/>
      <c r="G16" s="602"/>
      <c r="H16" s="602"/>
      <c r="I16" s="602"/>
      <c r="J16" s="651"/>
      <c r="K16" s="651"/>
    </row>
    <row r="17" spans="1:11" ht="15" customHeight="1">
      <c r="A17" s="497"/>
      <c r="B17" s="602" t="s">
        <v>233</v>
      </c>
      <c r="C17" s="602"/>
      <c r="D17" s="602"/>
      <c r="E17" s="602"/>
      <c r="F17" s="602"/>
      <c r="G17" s="602"/>
      <c r="H17" s="602"/>
      <c r="I17" s="602"/>
      <c r="J17" s="651"/>
      <c r="K17" s="651"/>
    </row>
    <row r="18" spans="1:11">
      <c r="A18" s="653"/>
      <c r="B18" s="653"/>
      <c r="C18" s="653"/>
      <c r="D18" s="653"/>
      <c r="E18" s="653"/>
      <c r="F18" s="653"/>
      <c r="G18" s="653"/>
      <c r="H18" s="653"/>
      <c r="I18" s="653"/>
      <c r="J18" s="653"/>
      <c r="K18" s="653"/>
    </row>
    <row r="19" spans="1:11">
      <c r="A19" s="67"/>
      <c r="B19" s="67"/>
      <c r="C19" s="67"/>
      <c r="D19" s="67"/>
      <c r="E19" s="67"/>
      <c r="F19" s="67"/>
      <c r="G19" s="67"/>
      <c r="H19" s="67"/>
      <c r="I19" s="67"/>
      <c r="J19" s="67"/>
      <c r="K19" s="67"/>
    </row>
    <row r="20" spans="1:11">
      <c r="A20" s="67"/>
      <c r="B20" s="67"/>
      <c r="C20" s="67"/>
      <c r="D20" s="67"/>
      <c r="E20" s="67"/>
      <c r="F20" s="67"/>
      <c r="G20" s="67"/>
      <c r="H20" s="67"/>
      <c r="I20" s="67"/>
      <c r="J20" s="67"/>
      <c r="K20" s="67"/>
    </row>
    <row r="21" spans="1:11">
      <c r="A21" s="67"/>
      <c r="B21" s="67"/>
      <c r="C21" s="67"/>
      <c r="D21" s="67"/>
      <c r="E21" s="67"/>
      <c r="F21" s="67"/>
      <c r="G21" s="67"/>
      <c r="H21" s="67"/>
      <c r="I21" s="67"/>
      <c r="J21" s="67"/>
      <c r="K21" s="67"/>
    </row>
    <row r="22" spans="1:11">
      <c r="A22" s="67"/>
      <c r="B22" s="67"/>
      <c r="C22" s="67"/>
      <c r="D22" s="67"/>
      <c r="E22" s="67"/>
      <c r="F22" s="67"/>
      <c r="G22" s="67"/>
      <c r="H22" s="67"/>
      <c r="I22" s="67"/>
      <c r="J22" s="67"/>
      <c r="K22" s="67"/>
    </row>
    <row r="23" spans="1:11">
      <c r="A23" s="67"/>
      <c r="B23" s="67"/>
      <c r="C23" s="67"/>
      <c r="D23" s="67"/>
      <c r="E23" s="67"/>
      <c r="F23" s="67"/>
      <c r="G23" s="67"/>
      <c r="H23" s="67"/>
      <c r="I23" s="67"/>
      <c r="J23" s="67"/>
      <c r="K23" s="67"/>
    </row>
    <row r="24" spans="1:11">
      <c r="A24" s="67"/>
      <c r="B24" s="67"/>
      <c r="C24" s="67"/>
      <c r="D24" s="67"/>
      <c r="E24" s="67"/>
      <c r="F24" s="67"/>
      <c r="G24" s="67"/>
      <c r="H24" s="67"/>
      <c r="I24" s="67"/>
      <c r="J24" s="67"/>
      <c r="K24" s="67"/>
    </row>
    <row r="25" spans="1:11">
      <c r="A25" s="67"/>
      <c r="B25" s="67"/>
      <c r="C25" s="67"/>
      <c r="D25" s="67"/>
      <c r="E25" s="67"/>
      <c r="F25" s="67"/>
      <c r="G25" s="67"/>
      <c r="H25" s="67"/>
      <c r="I25" s="67"/>
      <c r="J25" s="67"/>
      <c r="K25" s="67"/>
    </row>
    <row r="26" spans="1:11">
      <c r="A26" s="67"/>
      <c r="B26" s="67"/>
      <c r="C26" s="67"/>
      <c r="D26" s="67"/>
      <c r="E26" s="67"/>
      <c r="F26" s="67"/>
      <c r="G26" s="67"/>
      <c r="H26" s="67"/>
      <c r="I26" s="67"/>
      <c r="J26" s="67"/>
      <c r="K26" s="67"/>
    </row>
    <row r="27" spans="1:11">
      <c r="A27" s="67"/>
      <c r="B27" s="67"/>
      <c r="C27" s="67"/>
      <c r="D27" s="67"/>
      <c r="E27" s="67"/>
      <c r="F27" s="67"/>
      <c r="G27" s="67"/>
      <c r="H27" s="67"/>
      <c r="I27" s="67"/>
      <c r="J27" s="67"/>
      <c r="K27" s="67"/>
    </row>
    <row r="28" spans="1:11">
      <c r="A28" s="67"/>
      <c r="B28" s="67"/>
      <c r="C28" s="67"/>
      <c r="D28" s="67"/>
      <c r="E28" s="67"/>
      <c r="F28" s="67"/>
      <c r="G28" s="67"/>
      <c r="H28" s="67"/>
      <c r="I28" s="67"/>
      <c r="J28" s="67"/>
      <c r="K28" s="67"/>
    </row>
    <row r="29" spans="1:11">
      <c r="A29" s="67"/>
      <c r="B29" s="67"/>
      <c r="C29" s="67"/>
      <c r="D29" s="67"/>
      <c r="E29" s="67"/>
      <c r="F29" s="67"/>
      <c r="G29" s="67"/>
      <c r="H29" s="67"/>
      <c r="I29" s="67"/>
      <c r="J29" s="67"/>
      <c r="K29" s="67"/>
    </row>
    <row r="30" spans="1:11">
      <c r="A30" s="67"/>
      <c r="B30" s="67"/>
      <c r="C30" s="67"/>
      <c r="D30" s="67"/>
      <c r="E30" s="67"/>
      <c r="F30" s="67"/>
      <c r="G30" s="67"/>
      <c r="H30" s="67"/>
      <c r="I30" s="67"/>
      <c r="J30" s="67"/>
      <c r="K30" s="67"/>
    </row>
    <row r="31" spans="1:11">
      <c r="A31" s="67"/>
      <c r="B31" s="67"/>
      <c r="C31" s="67"/>
      <c r="D31" s="67"/>
      <c r="E31" s="67"/>
      <c r="F31" s="67"/>
      <c r="G31" s="67"/>
      <c r="H31" s="67"/>
      <c r="I31" s="67"/>
      <c r="J31" s="67"/>
      <c r="K31" s="67"/>
    </row>
    <row r="32" spans="1:11">
      <c r="A32" s="67"/>
      <c r="B32" s="67"/>
      <c r="C32" s="67"/>
      <c r="D32" s="67"/>
      <c r="E32" s="67"/>
      <c r="F32" s="67"/>
      <c r="G32" s="67"/>
      <c r="H32" s="67"/>
      <c r="I32" s="67"/>
      <c r="J32" s="67"/>
      <c r="K32" s="67"/>
    </row>
    <row r="33" spans="1:11">
      <c r="A33" s="67"/>
      <c r="B33" s="67"/>
      <c r="C33" s="67"/>
      <c r="D33" s="67"/>
      <c r="E33" s="67"/>
      <c r="F33" s="67"/>
      <c r="G33" s="67"/>
      <c r="H33" s="67"/>
      <c r="I33" s="67"/>
      <c r="J33" s="67"/>
      <c r="K33" s="67"/>
    </row>
  </sheetData>
  <sheetProtection password="CF4A" sheet="1" formatRows="0" selectLockedCells="1"/>
  <mergeCells count="34">
    <mergeCell ref="B17:I17"/>
    <mergeCell ref="J17:K17"/>
    <mergeCell ref="A18:K18"/>
    <mergeCell ref="A3:A17"/>
    <mergeCell ref="B14:I14"/>
    <mergeCell ref="J14:K14"/>
    <mergeCell ref="B15:I15"/>
    <mergeCell ref="J15:K15"/>
    <mergeCell ref="B16:I16"/>
    <mergeCell ref="J16:K16"/>
    <mergeCell ref="B11:I11"/>
    <mergeCell ref="J11:K11"/>
    <mergeCell ref="B12:I12"/>
    <mergeCell ref="J12:K12"/>
    <mergeCell ref="B13:I13"/>
    <mergeCell ref="J13:K13"/>
    <mergeCell ref="B8:G8"/>
    <mergeCell ref="H8:K8"/>
    <mergeCell ref="B9:I9"/>
    <mergeCell ref="J9:K9"/>
    <mergeCell ref="B10:I10"/>
    <mergeCell ref="J10:K10"/>
    <mergeCell ref="B5:I5"/>
    <mergeCell ref="J5:K5"/>
    <mergeCell ref="B6:I6"/>
    <mergeCell ref="J6:K6"/>
    <mergeCell ref="B7:I7"/>
    <mergeCell ref="J7:K7"/>
    <mergeCell ref="A1:K1"/>
    <mergeCell ref="A2:K2"/>
    <mergeCell ref="B3:I3"/>
    <mergeCell ref="J3:K3"/>
    <mergeCell ref="B4:G4"/>
    <mergeCell ref="H4:K4"/>
  </mergeCells>
  <dataValidations count="2">
    <dataValidation type="decimal" operator="greaterThan" allowBlank="1" showInputMessage="1" showErrorMessage="1" error="Стоимость должна иметь числовое значение и не может быть меньше или равна 0." sqref="J3:K3" xr:uid="{00000000-0002-0000-0600-000000000000}">
      <formula1>0</formula1>
    </dataValidation>
    <dataValidation allowBlank="1" showInputMessage="1" errorTitle="Некорректный ввод данных." error="Площадь помещений должна иметь числовое значение и не может быть меньше или равна 0." sqref="H8:K8" xr:uid="{00000000-0002-0000-0600-000001000000}"/>
  </dataValidations>
  <pageMargins left="0.70866141732283505" right="0.70866141732283505" top="0.74803149606299202" bottom="0.74803149606299202" header="0.31496062992126" footer="0.31496062992126"/>
  <pageSetup paperSize="9" scale="76" orientation="portrait" blackAndWhite="1" r:id="rId1"/>
  <headerFooter>
    <oddFooter>&amp;RПодпись:  __________________ М.П.            
/___________________________ /  (Ф.И.О. должность)</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6625" r:id="rId4" name="Option Button 1">
              <controlPr defaultSize="0" autoPict="0">
                <anchor moveWithCells="1">
                  <from>
                    <xdr:col>9</xdr:col>
                    <xdr:colOff>38100</xdr:colOff>
                    <xdr:row>4</xdr:row>
                    <xdr:rowOff>104775</xdr:rowOff>
                  </from>
                  <to>
                    <xdr:col>9</xdr:col>
                    <xdr:colOff>438150</xdr:colOff>
                    <xdr:row>4</xdr:row>
                    <xdr:rowOff>247650</xdr:rowOff>
                  </to>
                </anchor>
              </controlPr>
            </control>
          </mc:Choice>
        </mc:AlternateContent>
        <mc:AlternateContent xmlns:mc="http://schemas.openxmlformats.org/markup-compatibility/2006">
          <mc:Choice Requires="x14">
            <control shapeId="26626" r:id="rId5" name="Option Button 2">
              <controlPr defaultSize="0" autoPict="0">
                <anchor moveWithCells="1">
                  <from>
                    <xdr:col>9</xdr:col>
                    <xdr:colOff>495300</xdr:colOff>
                    <xdr:row>4</xdr:row>
                    <xdr:rowOff>104775</xdr:rowOff>
                  </from>
                  <to>
                    <xdr:col>10</xdr:col>
                    <xdr:colOff>238125</xdr:colOff>
                    <xdr:row>4</xdr:row>
                    <xdr:rowOff>247650</xdr:rowOff>
                  </to>
                </anchor>
              </controlPr>
            </control>
          </mc:Choice>
        </mc:AlternateContent>
        <mc:AlternateContent xmlns:mc="http://schemas.openxmlformats.org/markup-compatibility/2006">
          <mc:Choice Requires="x14">
            <control shapeId="26627" r:id="rId6" name="Option Button 3">
              <controlPr defaultSize="0" autoPict="0">
                <anchor moveWithCells="1">
                  <from>
                    <xdr:col>9</xdr:col>
                    <xdr:colOff>47625</xdr:colOff>
                    <xdr:row>5</xdr:row>
                    <xdr:rowOff>28575</xdr:rowOff>
                  </from>
                  <to>
                    <xdr:col>9</xdr:col>
                    <xdr:colOff>466725</xdr:colOff>
                    <xdr:row>5</xdr:row>
                    <xdr:rowOff>161925</xdr:rowOff>
                  </to>
                </anchor>
              </controlPr>
            </control>
          </mc:Choice>
        </mc:AlternateContent>
        <mc:AlternateContent xmlns:mc="http://schemas.openxmlformats.org/markup-compatibility/2006">
          <mc:Choice Requires="x14">
            <control shapeId="26628" r:id="rId7" name="Option Button 4">
              <controlPr defaultSize="0" autoPict="0">
                <anchor moveWithCells="1">
                  <from>
                    <xdr:col>9</xdr:col>
                    <xdr:colOff>504825</xdr:colOff>
                    <xdr:row>5</xdr:row>
                    <xdr:rowOff>38100</xdr:rowOff>
                  </from>
                  <to>
                    <xdr:col>10</xdr:col>
                    <xdr:colOff>209550</xdr:colOff>
                    <xdr:row>5</xdr:row>
                    <xdr:rowOff>161925</xdr:rowOff>
                  </to>
                </anchor>
              </controlPr>
            </control>
          </mc:Choice>
        </mc:AlternateContent>
        <mc:AlternateContent xmlns:mc="http://schemas.openxmlformats.org/markup-compatibility/2006">
          <mc:Choice Requires="x14">
            <control shapeId="26630" r:id="rId8" name="Option Button 6">
              <controlPr defaultSize="0" autoPict="0">
                <anchor moveWithCells="1">
                  <from>
                    <xdr:col>9</xdr:col>
                    <xdr:colOff>57150</xdr:colOff>
                    <xdr:row>6</xdr:row>
                    <xdr:rowOff>95250</xdr:rowOff>
                  </from>
                  <to>
                    <xdr:col>9</xdr:col>
                    <xdr:colOff>419100</xdr:colOff>
                    <xdr:row>6</xdr:row>
                    <xdr:rowOff>238125</xdr:rowOff>
                  </to>
                </anchor>
              </controlPr>
            </control>
          </mc:Choice>
        </mc:AlternateContent>
        <mc:AlternateContent xmlns:mc="http://schemas.openxmlformats.org/markup-compatibility/2006">
          <mc:Choice Requires="x14">
            <control shapeId="26631" r:id="rId9" name="Option Button 7">
              <controlPr defaultSize="0" autoPict="0">
                <anchor moveWithCells="1">
                  <from>
                    <xdr:col>9</xdr:col>
                    <xdr:colOff>514350</xdr:colOff>
                    <xdr:row>6</xdr:row>
                    <xdr:rowOff>104775</xdr:rowOff>
                  </from>
                  <to>
                    <xdr:col>10</xdr:col>
                    <xdr:colOff>209550</xdr:colOff>
                    <xdr:row>6</xdr:row>
                    <xdr:rowOff>257175</xdr:rowOff>
                  </to>
                </anchor>
              </controlPr>
            </control>
          </mc:Choice>
        </mc:AlternateContent>
        <mc:AlternateContent xmlns:mc="http://schemas.openxmlformats.org/markup-compatibility/2006">
          <mc:Choice Requires="x14">
            <control shapeId="26633" r:id="rId10" name="Option Button 9">
              <controlPr defaultSize="0" autoPict="0">
                <anchor moveWithCells="1">
                  <from>
                    <xdr:col>9</xdr:col>
                    <xdr:colOff>47625</xdr:colOff>
                    <xdr:row>8</xdr:row>
                    <xdr:rowOff>19050</xdr:rowOff>
                  </from>
                  <to>
                    <xdr:col>9</xdr:col>
                    <xdr:colOff>495300</xdr:colOff>
                    <xdr:row>8</xdr:row>
                    <xdr:rowOff>152400</xdr:rowOff>
                  </to>
                </anchor>
              </controlPr>
            </control>
          </mc:Choice>
        </mc:AlternateContent>
        <mc:AlternateContent xmlns:mc="http://schemas.openxmlformats.org/markup-compatibility/2006">
          <mc:Choice Requires="x14">
            <control shapeId="26634" r:id="rId11" name="Option Button 10">
              <controlPr defaultSize="0" autoPict="0">
                <anchor moveWithCells="1">
                  <from>
                    <xdr:col>9</xdr:col>
                    <xdr:colOff>523875</xdr:colOff>
                    <xdr:row>8</xdr:row>
                    <xdr:rowOff>28575</xdr:rowOff>
                  </from>
                  <to>
                    <xdr:col>10</xdr:col>
                    <xdr:colOff>257175</xdr:colOff>
                    <xdr:row>8</xdr:row>
                    <xdr:rowOff>152400</xdr:rowOff>
                  </to>
                </anchor>
              </controlPr>
            </control>
          </mc:Choice>
        </mc:AlternateContent>
        <mc:AlternateContent xmlns:mc="http://schemas.openxmlformats.org/markup-compatibility/2006">
          <mc:Choice Requires="x14">
            <control shapeId="26635" r:id="rId12" name="Option Button 11">
              <controlPr defaultSize="0" autoPict="0">
                <anchor moveWithCells="1">
                  <from>
                    <xdr:col>9</xdr:col>
                    <xdr:colOff>47625</xdr:colOff>
                    <xdr:row>9</xdr:row>
                    <xdr:rowOff>19050</xdr:rowOff>
                  </from>
                  <to>
                    <xdr:col>9</xdr:col>
                    <xdr:colOff>495300</xdr:colOff>
                    <xdr:row>9</xdr:row>
                    <xdr:rowOff>161925</xdr:rowOff>
                  </to>
                </anchor>
              </controlPr>
            </control>
          </mc:Choice>
        </mc:AlternateContent>
        <mc:AlternateContent xmlns:mc="http://schemas.openxmlformats.org/markup-compatibility/2006">
          <mc:Choice Requires="x14">
            <control shapeId="26636" r:id="rId13" name="Option Button 12">
              <controlPr defaultSize="0" autoPict="0">
                <anchor moveWithCells="1">
                  <from>
                    <xdr:col>9</xdr:col>
                    <xdr:colOff>523875</xdr:colOff>
                    <xdr:row>9</xdr:row>
                    <xdr:rowOff>28575</xdr:rowOff>
                  </from>
                  <to>
                    <xdr:col>10</xdr:col>
                    <xdr:colOff>257175</xdr:colOff>
                    <xdr:row>9</xdr:row>
                    <xdr:rowOff>152400</xdr:rowOff>
                  </to>
                </anchor>
              </controlPr>
            </control>
          </mc:Choice>
        </mc:AlternateContent>
        <mc:AlternateContent xmlns:mc="http://schemas.openxmlformats.org/markup-compatibility/2006">
          <mc:Choice Requires="x14">
            <control shapeId="26637" r:id="rId14" name="Option Button 13">
              <controlPr defaultSize="0" autoPict="0">
                <anchor moveWithCells="1">
                  <from>
                    <xdr:col>9</xdr:col>
                    <xdr:colOff>38100</xdr:colOff>
                    <xdr:row>10</xdr:row>
                    <xdr:rowOff>19050</xdr:rowOff>
                  </from>
                  <to>
                    <xdr:col>9</xdr:col>
                    <xdr:colOff>495300</xdr:colOff>
                    <xdr:row>10</xdr:row>
                    <xdr:rowOff>161925</xdr:rowOff>
                  </to>
                </anchor>
              </controlPr>
            </control>
          </mc:Choice>
        </mc:AlternateContent>
        <mc:AlternateContent xmlns:mc="http://schemas.openxmlformats.org/markup-compatibility/2006">
          <mc:Choice Requires="x14">
            <control shapeId="26638" r:id="rId15" name="Option Button 14">
              <controlPr defaultSize="0" autoPict="0">
                <anchor moveWithCells="1">
                  <from>
                    <xdr:col>9</xdr:col>
                    <xdr:colOff>523875</xdr:colOff>
                    <xdr:row>10</xdr:row>
                    <xdr:rowOff>28575</xdr:rowOff>
                  </from>
                  <to>
                    <xdr:col>10</xdr:col>
                    <xdr:colOff>257175</xdr:colOff>
                    <xdr:row>10</xdr:row>
                    <xdr:rowOff>152400</xdr:rowOff>
                  </to>
                </anchor>
              </controlPr>
            </control>
          </mc:Choice>
        </mc:AlternateContent>
        <mc:AlternateContent xmlns:mc="http://schemas.openxmlformats.org/markup-compatibility/2006">
          <mc:Choice Requires="x14">
            <control shapeId="26639" r:id="rId16" name="Option Button 15">
              <controlPr defaultSize="0" autoPict="0">
                <anchor moveWithCells="1">
                  <from>
                    <xdr:col>9</xdr:col>
                    <xdr:colOff>47625</xdr:colOff>
                    <xdr:row>11</xdr:row>
                    <xdr:rowOff>28575</xdr:rowOff>
                  </from>
                  <to>
                    <xdr:col>9</xdr:col>
                    <xdr:colOff>495300</xdr:colOff>
                    <xdr:row>11</xdr:row>
                    <xdr:rowOff>161925</xdr:rowOff>
                  </to>
                </anchor>
              </controlPr>
            </control>
          </mc:Choice>
        </mc:AlternateContent>
        <mc:AlternateContent xmlns:mc="http://schemas.openxmlformats.org/markup-compatibility/2006">
          <mc:Choice Requires="x14">
            <control shapeId="26640" r:id="rId17" name="Option Button 16">
              <controlPr defaultSize="0" autoPict="0">
                <anchor moveWithCells="1">
                  <from>
                    <xdr:col>9</xdr:col>
                    <xdr:colOff>523875</xdr:colOff>
                    <xdr:row>11</xdr:row>
                    <xdr:rowOff>19050</xdr:rowOff>
                  </from>
                  <to>
                    <xdr:col>10</xdr:col>
                    <xdr:colOff>266700</xdr:colOff>
                    <xdr:row>11</xdr:row>
                    <xdr:rowOff>152400</xdr:rowOff>
                  </to>
                </anchor>
              </controlPr>
            </control>
          </mc:Choice>
        </mc:AlternateContent>
        <mc:AlternateContent xmlns:mc="http://schemas.openxmlformats.org/markup-compatibility/2006">
          <mc:Choice Requires="x14">
            <control shapeId="26642" r:id="rId18" name="Option Button 18">
              <controlPr defaultSize="0" autoPict="0">
                <anchor moveWithCells="1">
                  <from>
                    <xdr:col>9</xdr:col>
                    <xdr:colOff>47625</xdr:colOff>
                    <xdr:row>12</xdr:row>
                    <xdr:rowOff>28575</xdr:rowOff>
                  </from>
                  <to>
                    <xdr:col>9</xdr:col>
                    <xdr:colOff>495300</xdr:colOff>
                    <xdr:row>12</xdr:row>
                    <xdr:rowOff>161925</xdr:rowOff>
                  </to>
                </anchor>
              </controlPr>
            </control>
          </mc:Choice>
        </mc:AlternateContent>
        <mc:AlternateContent xmlns:mc="http://schemas.openxmlformats.org/markup-compatibility/2006">
          <mc:Choice Requires="x14">
            <control shapeId="26643" r:id="rId19" name="Option Button 19">
              <controlPr defaultSize="0" autoPict="0">
                <anchor moveWithCells="1">
                  <from>
                    <xdr:col>9</xdr:col>
                    <xdr:colOff>523875</xdr:colOff>
                    <xdr:row>12</xdr:row>
                    <xdr:rowOff>28575</xdr:rowOff>
                  </from>
                  <to>
                    <xdr:col>10</xdr:col>
                    <xdr:colOff>257175</xdr:colOff>
                    <xdr:row>12</xdr:row>
                    <xdr:rowOff>152400</xdr:rowOff>
                  </to>
                </anchor>
              </controlPr>
            </control>
          </mc:Choice>
        </mc:AlternateContent>
        <mc:AlternateContent xmlns:mc="http://schemas.openxmlformats.org/markup-compatibility/2006">
          <mc:Choice Requires="x14">
            <control shapeId="26644" r:id="rId20" name="Option Button 20">
              <controlPr defaultSize="0" autoPict="0">
                <anchor moveWithCells="1">
                  <from>
                    <xdr:col>9</xdr:col>
                    <xdr:colOff>47625</xdr:colOff>
                    <xdr:row>13</xdr:row>
                    <xdr:rowOff>114300</xdr:rowOff>
                  </from>
                  <to>
                    <xdr:col>9</xdr:col>
                    <xdr:colOff>504825</xdr:colOff>
                    <xdr:row>13</xdr:row>
                    <xdr:rowOff>257175</xdr:rowOff>
                  </to>
                </anchor>
              </controlPr>
            </control>
          </mc:Choice>
        </mc:AlternateContent>
        <mc:AlternateContent xmlns:mc="http://schemas.openxmlformats.org/markup-compatibility/2006">
          <mc:Choice Requires="x14">
            <control shapeId="26645" r:id="rId21" name="Option Button 21">
              <controlPr defaultSize="0" autoPict="0">
                <anchor moveWithCells="1">
                  <from>
                    <xdr:col>9</xdr:col>
                    <xdr:colOff>533400</xdr:colOff>
                    <xdr:row>13</xdr:row>
                    <xdr:rowOff>114300</xdr:rowOff>
                  </from>
                  <to>
                    <xdr:col>10</xdr:col>
                    <xdr:colOff>266700</xdr:colOff>
                    <xdr:row>13</xdr:row>
                    <xdr:rowOff>238125</xdr:rowOff>
                  </to>
                </anchor>
              </controlPr>
            </control>
          </mc:Choice>
        </mc:AlternateContent>
        <mc:AlternateContent xmlns:mc="http://schemas.openxmlformats.org/markup-compatibility/2006">
          <mc:Choice Requires="x14">
            <control shapeId="26646" r:id="rId22" name="Option Button 22">
              <controlPr defaultSize="0" autoPict="0">
                <anchor moveWithCells="1">
                  <from>
                    <xdr:col>9</xdr:col>
                    <xdr:colOff>57150</xdr:colOff>
                    <xdr:row>14</xdr:row>
                    <xdr:rowOff>28575</xdr:rowOff>
                  </from>
                  <to>
                    <xdr:col>9</xdr:col>
                    <xdr:colOff>504825</xdr:colOff>
                    <xdr:row>14</xdr:row>
                    <xdr:rowOff>152400</xdr:rowOff>
                  </to>
                </anchor>
              </controlPr>
            </control>
          </mc:Choice>
        </mc:AlternateContent>
        <mc:AlternateContent xmlns:mc="http://schemas.openxmlformats.org/markup-compatibility/2006">
          <mc:Choice Requires="x14">
            <control shapeId="26647" r:id="rId23" name="Option Button 23">
              <controlPr defaultSize="0" autoPict="0">
                <anchor moveWithCells="1">
                  <from>
                    <xdr:col>9</xdr:col>
                    <xdr:colOff>533400</xdr:colOff>
                    <xdr:row>14</xdr:row>
                    <xdr:rowOff>28575</xdr:rowOff>
                  </from>
                  <to>
                    <xdr:col>10</xdr:col>
                    <xdr:colOff>276225</xdr:colOff>
                    <xdr:row>14</xdr:row>
                    <xdr:rowOff>152400</xdr:rowOff>
                  </to>
                </anchor>
              </controlPr>
            </control>
          </mc:Choice>
        </mc:AlternateContent>
        <mc:AlternateContent xmlns:mc="http://schemas.openxmlformats.org/markup-compatibility/2006">
          <mc:Choice Requires="x14">
            <control shapeId="26648" r:id="rId24" name="Option Button 24">
              <controlPr defaultSize="0" autoPict="0">
                <anchor moveWithCells="1">
                  <from>
                    <xdr:col>9</xdr:col>
                    <xdr:colOff>57150</xdr:colOff>
                    <xdr:row>15</xdr:row>
                    <xdr:rowOff>28575</xdr:rowOff>
                  </from>
                  <to>
                    <xdr:col>9</xdr:col>
                    <xdr:colOff>514350</xdr:colOff>
                    <xdr:row>15</xdr:row>
                    <xdr:rowOff>152400</xdr:rowOff>
                  </to>
                </anchor>
              </controlPr>
            </control>
          </mc:Choice>
        </mc:AlternateContent>
        <mc:AlternateContent xmlns:mc="http://schemas.openxmlformats.org/markup-compatibility/2006">
          <mc:Choice Requires="x14">
            <control shapeId="26649" r:id="rId25" name="Option Button 25">
              <controlPr defaultSize="0" autoPict="0">
                <anchor moveWithCells="1">
                  <from>
                    <xdr:col>9</xdr:col>
                    <xdr:colOff>542925</xdr:colOff>
                    <xdr:row>15</xdr:row>
                    <xdr:rowOff>28575</xdr:rowOff>
                  </from>
                  <to>
                    <xdr:col>10</xdr:col>
                    <xdr:colOff>285750</xdr:colOff>
                    <xdr:row>15</xdr:row>
                    <xdr:rowOff>161925</xdr:rowOff>
                  </to>
                </anchor>
              </controlPr>
            </control>
          </mc:Choice>
        </mc:AlternateContent>
        <mc:AlternateContent xmlns:mc="http://schemas.openxmlformats.org/markup-compatibility/2006">
          <mc:Choice Requires="x14">
            <control shapeId="26650" r:id="rId26" name="Option Button 26">
              <controlPr defaultSize="0" autoPict="0">
                <anchor moveWithCells="1">
                  <from>
                    <xdr:col>9</xdr:col>
                    <xdr:colOff>57150</xdr:colOff>
                    <xdr:row>16</xdr:row>
                    <xdr:rowOff>38100</xdr:rowOff>
                  </from>
                  <to>
                    <xdr:col>9</xdr:col>
                    <xdr:colOff>495300</xdr:colOff>
                    <xdr:row>16</xdr:row>
                    <xdr:rowOff>152400</xdr:rowOff>
                  </to>
                </anchor>
              </controlPr>
            </control>
          </mc:Choice>
        </mc:AlternateContent>
        <mc:AlternateContent xmlns:mc="http://schemas.openxmlformats.org/markup-compatibility/2006">
          <mc:Choice Requires="x14">
            <control shapeId="26651" r:id="rId27" name="Option Button 27">
              <controlPr defaultSize="0" autoPict="0">
                <anchor moveWithCells="1">
                  <from>
                    <xdr:col>9</xdr:col>
                    <xdr:colOff>542925</xdr:colOff>
                    <xdr:row>16</xdr:row>
                    <xdr:rowOff>38100</xdr:rowOff>
                  </from>
                  <to>
                    <xdr:col>10</xdr:col>
                    <xdr:colOff>285750</xdr:colOff>
                    <xdr:row>16</xdr:row>
                    <xdr:rowOff>161925</xdr:rowOff>
                  </to>
                </anchor>
              </controlPr>
            </control>
          </mc:Choice>
        </mc:AlternateContent>
        <mc:AlternateContent xmlns:mc="http://schemas.openxmlformats.org/markup-compatibility/2006">
          <mc:Choice Requires="x14">
            <control shapeId="26656" r:id="rId28" name="Group Box 32">
              <controlPr defaultSize="0" autoPict="0">
                <anchor moveWithCells="1">
                  <from>
                    <xdr:col>8</xdr:col>
                    <xdr:colOff>714375</xdr:colOff>
                    <xdr:row>9</xdr:row>
                    <xdr:rowOff>0</xdr:rowOff>
                  </from>
                  <to>
                    <xdr:col>11</xdr:col>
                    <xdr:colOff>0</xdr:colOff>
                    <xdr:row>10</xdr:row>
                    <xdr:rowOff>0</xdr:rowOff>
                  </to>
                </anchor>
              </controlPr>
            </control>
          </mc:Choice>
        </mc:AlternateContent>
        <mc:AlternateContent xmlns:mc="http://schemas.openxmlformats.org/markup-compatibility/2006">
          <mc:Choice Requires="x14">
            <control shapeId="26657" r:id="rId29" name="Group Box 33">
              <controlPr defaultSize="0" autoPict="0">
                <anchor moveWithCells="1">
                  <from>
                    <xdr:col>8</xdr:col>
                    <xdr:colOff>714375</xdr:colOff>
                    <xdr:row>10</xdr:row>
                    <xdr:rowOff>0</xdr:rowOff>
                  </from>
                  <to>
                    <xdr:col>11</xdr:col>
                    <xdr:colOff>0</xdr:colOff>
                    <xdr:row>11</xdr:row>
                    <xdr:rowOff>0</xdr:rowOff>
                  </to>
                </anchor>
              </controlPr>
            </control>
          </mc:Choice>
        </mc:AlternateContent>
        <mc:AlternateContent xmlns:mc="http://schemas.openxmlformats.org/markup-compatibility/2006">
          <mc:Choice Requires="x14">
            <control shapeId="26658" r:id="rId30" name="Group Box 34">
              <controlPr defaultSize="0" autoPict="0">
                <anchor moveWithCells="1">
                  <from>
                    <xdr:col>8</xdr:col>
                    <xdr:colOff>714375</xdr:colOff>
                    <xdr:row>11</xdr:row>
                    <xdr:rowOff>0</xdr:rowOff>
                  </from>
                  <to>
                    <xdr:col>11</xdr:col>
                    <xdr:colOff>0</xdr:colOff>
                    <xdr:row>12</xdr:row>
                    <xdr:rowOff>0</xdr:rowOff>
                  </to>
                </anchor>
              </controlPr>
            </control>
          </mc:Choice>
        </mc:AlternateContent>
        <mc:AlternateContent xmlns:mc="http://schemas.openxmlformats.org/markup-compatibility/2006">
          <mc:Choice Requires="x14">
            <control shapeId="26659" r:id="rId31" name="Group Box 35">
              <controlPr defaultSize="0" autoPict="0">
                <anchor moveWithCells="1">
                  <from>
                    <xdr:col>8</xdr:col>
                    <xdr:colOff>714375</xdr:colOff>
                    <xdr:row>12</xdr:row>
                    <xdr:rowOff>0</xdr:rowOff>
                  </from>
                  <to>
                    <xdr:col>11</xdr:col>
                    <xdr:colOff>0</xdr:colOff>
                    <xdr:row>13</xdr:row>
                    <xdr:rowOff>0</xdr:rowOff>
                  </to>
                </anchor>
              </controlPr>
            </control>
          </mc:Choice>
        </mc:AlternateContent>
        <mc:AlternateContent xmlns:mc="http://schemas.openxmlformats.org/markup-compatibility/2006">
          <mc:Choice Requires="x14">
            <control shapeId="26660" r:id="rId32" name="Group Box 36">
              <controlPr defaultSize="0" autoPict="0">
                <anchor moveWithCells="1">
                  <from>
                    <xdr:col>8</xdr:col>
                    <xdr:colOff>714375</xdr:colOff>
                    <xdr:row>13</xdr:row>
                    <xdr:rowOff>0</xdr:rowOff>
                  </from>
                  <to>
                    <xdr:col>11</xdr:col>
                    <xdr:colOff>0</xdr:colOff>
                    <xdr:row>14</xdr:row>
                    <xdr:rowOff>0</xdr:rowOff>
                  </to>
                </anchor>
              </controlPr>
            </control>
          </mc:Choice>
        </mc:AlternateContent>
        <mc:AlternateContent xmlns:mc="http://schemas.openxmlformats.org/markup-compatibility/2006">
          <mc:Choice Requires="x14">
            <control shapeId="26663" r:id="rId33" name="Group Box 39">
              <controlPr defaultSize="0" autoPict="0">
                <anchor moveWithCells="1">
                  <from>
                    <xdr:col>8</xdr:col>
                    <xdr:colOff>714375</xdr:colOff>
                    <xdr:row>16</xdr:row>
                    <xdr:rowOff>0</xdr:rowOff>
                  </from>
                  <to>
                    <xdr:col>11</xdr:col>
                    <xdr:colOff>0</xdr:colOff>
                    <xdr:row>17</xdr:row>
                    <xdr:rowOff>0</xdr:rowOff>
                  </to>
                </anchor>
              </controlPr>
            </control>
          </mc:Choice>
        </mc:AlternateContent>
        <mc:AlternateContent xmlns:mc="http://schemas.openxmlformats.org/markup-compatibility/2006">
          <mc:Choice Requires="x14">
            <control shapeId="26664" r:id="rId34" name="Group Box 40">
              <controlPr defaultSize="0" autoPict="0">
                <anchor moveWithCells="1">
                  <from>
                    <xdr:col>8</xdr:col>
                    <xdr:colOff>714375</xdr:colOff>
                    <xdr:row>15</xdr:row>
                    <xdr:rowOff>0</xdr:rowOff>
                  </from>
                  <to>
                    <xdr:col>11</xdr:col>
                    <xdr:colOff>0</xdr:colOff>
                    <xdr:row>16</xdr:row>
                    <xdr:rowOff>0</xdr:rowOff>
                  </to>
                </anchor>
              </controlPr>
            </control>
          </mc:Choice>
        </mc:AlternateContent>
        <mc:AlternateContent xmlns:mc="http://schemas.openxmlformats.org/markup-compatibility/2006">
          <mc:Choice Requires="x14">
            <control shapeId="26665" r:id="rId35" name="Group Box 41">
              <controlPr defaultSize="0" autoPict="0">
                <anchor moveWithCells="1">
                  <from>
                    <xdr:col>8</xdr:col>
                    <xdr:colOff>714375</xdr:colOff>
                    <xdr:row>14</xdr:row>
                    <xdr:rowOff>0</xdr:rowOff>
                  </from>
                  <to>
                    <xdr:col>11</xdr:col>
                    <xdr:colOff>0</xdr:colOff>
                    <xdr:row>15</xdr:row>
                    <xdr:rowOff>0</xdr:rowOff>
                  </to>
                </anchor>
              </controlPr>
            </control>
          </mc:Choice>
        </mc:AlternateContent>
        <mc:AlternateContent xmlns:mc="http://schemas.openxmlformats.org/markup-compatibility/2006">
          <mc:Choice Requires="x14">
            <control shapeId="26667" r:id="rId36" name="Group Box 43">
              <controlPr defaultSize="0" autoPict="0">
                <anchor moveWithCells="1">
                  <from>
                    <xdr:col>8</xdr:col>
                    <xdr:colOff>714375</xdr:colOff>
                    <xdr:row>4</xdr:row>
                    <xdr:rowOff>0</xdr:rowOff>
                  </from>
                  <to>
                    <xdr:col>11</xdr:col>
                    <xdr:colOff>0</xdr:colOff>
                    <xdr:row>5</xdr:row>
                    <xdr:rowOff>0</xdr:rowOff>
                  </to>
                </anchor>
              </controlPr>
            </control>
          </mc:Choice>
        </mc:AlternateContent>
        <mc:AlternateContent xmlns:mc="http://schemas.openxmlformats.org/markup-compatibility/2006">
          <mc:Choice Requires="x14">
            <control shapeId="26668" r:id="rId37" name="Group Box 44">
              <controlPr defaultSize="0" autoPict="0">
                <anchor moveWithCells="1">
                  <from>
                    <xdr:col>8</xdr:col>
                    <xdr:colOff>714375</xdr:colOff>
                    <xdr:row>5</xdr:row>
                    <xdr:rowOff>0</xdr:rowOff>
                  </from>
                  <to>
                    <xdr:col>11</xdr:col>
                    <xdr:colOff>0</xdr:colOff>
                    <xdr:row>6</xdr:row>
                    <xdr:rowOff>0</xdr:rowOff>
                  </to>
                </anchor>
              </controlPr>
            </control>
          </mc:Choice>
        </mc:AlternateContent>
        <mc:AlternateContent xmlns:mc="http://schemas.openxmlformats.org/markup-compatibility/2006">
          <mc:Choice Requires="x14">
            <control shapeId="26669" r:id="rId38" name="Group Box 45">
              <controlPr defaultSize="0" autoPict="0">
                <anchor moveWithCells="1">
                  <from>
                    <xdr:col>8</xdr:col>
                    <xdr:colOff>714375</xdr:colOff>
                    <xdr:row>6</xdr:row>
                    <xdr:rowOff>0</xdr:rowOff>
                  </from>
                  <to>
                    <xdr:col>11</xdr:col>
                    <xdr:colOff>0</xdr:colOff>
                    <xdr:row>7</xdr:row>
                    <xdr:rowOff>0</xdr:rowOff>
                  </to>
                </anchor>
              </controlPr>
            </control>
          </mc:Choice>
        </mc:AlternateContent>
        <mc:AlternateContent xmlns:mc="http://schemas.openxmlformats.org/markup-compatibility/2006">
          <mc:Choice Requires="x14">
            <control shapeId="26670" r:id="rId39" name="Group Box 46">
              <controlPr defaultSize="0" autoPict="0">
                <anchor moveWithCells="1">
                  <from>
                    <xdr:col>8</xdr:col>
                    <xdr:colOff>714375</xdr:colOff>
                    <xdr:row>8</xdr:row>
                    <xdr:rowOff>0</xdr:rowOff>
                  </from>
                  <to>
                    <xdr:col>11</xdr:col>
                    <xdr:colOff>0</xdr:colOff>
                    <xdr:row>9</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dimension ref="A1:K69"/>
  <sheetViews>
    <sheetView topLeftCell="D1" workbookViewId="0">
      <selection activeCell="K34" sqref="K34"/>
    </sheetView>
  </sheetViews>
  <sheetFormatPr defaultColWidth="9.140625" defaultRowHeight="15" customHeight="1"/>
  <cols>
    <col min="1" max="1" width="9.42578125" style="59" customWidth="1"/>
    <col min="2" max="2" width="56.42578125" style="59" customWidth="1"/>
    <col min="3" max="3" width="84.85546875" style="59" customWidth="1"/>
    <col min="4" max="6" width="9.140625" style="59"/>
    <col min="7" max="7" width="56.42578125" style="59" customWidth="1"/>
    <col min="8" max="10" width="9.140625" style="59"/>
    <col min="11" max="11" width="130.140625" style="59" customWidth="1"/>
    <col min="12" max="16384" width="9.140625" style="59"/>
  </cols>
  <sheetData>
    <row r="1" spans="1:11" ht="15" customHeight="1">
      <c r="A1" s="59" t="s">
        <v>234</v>
      </c>
      <c r="B1" s="59" t="s">
        <v>235</v>
      </c>
      <c r="C1" s="59" t="s">
        <v>236</v>
      </c>
      <c r="G1" s="60" t="s">
        <v>237</v>
      </c>
      <c r="K1" s="65" t="s">
        <v>238</v>
      </c>
    </row>
    <row r="2" spans="1:11" ht="15" customHeight="1">
      <c r="A2" s="61">
        <v>1</v>
      </c>
      <c r="B2" s="62" t="s">
        <v>239</v>
      </c>
      <c r="C2" s="63" t="s">
        <v>239</v>
      </c>
      <c r="G2" s="60" t="s">
        <v>240</v>
      </c>
      <c r="K2" s="65" t="s">
        <v>241</v>
      </c>
    </row>
    <row r="3" spans="1:11" ht="15" customHeight="1">
      <c r="A3" s="61" t="s">
        <v>242</v>
      </c>
      <c r="B3" s="62" t="s">
        <v>243</v>
      </c>
      <c r="C3" s="63" t="s">
        <v>244</v>
      </c>
      <c r="G3" s="60" t="s">
        <v>245</v>
      </c>
      <c r="K3" s="65" t="s">
        <v>246</v>
      </c>
    </row>
    <row r="4" spans="1:11" ht="15" customHeight="1">
      <c r="A4" s="61" t="s">
        <v>247</v>
      </c>
      <c r="B4" s="62" t="s">
        <v>243</v>
      </c>
      <c r="C4" s="63" t="s">
        <v>248</v>
      </c>
      <c r="G4" s="60" t="s">
        <v>249</v>
      </c>
      <c r="K4" s="65" t="s">
        <v>250</v>
      </c>
    </row>
    <row r="5" spans="1:11" ht="15" customHeight="1">
      <c r="A5" s="61" t="s">
        <v>251</v>
      </c>
      <c r="B5" s="62" t="s">
        <v>243</v>
      </c>
      <c r="C5" s="63" t="s">
        <v>252</v>
      </c>
      <c r="G5" s="60" t="s">
        <v>253</v>
      </c>
      <c r="K5" s="65" t="s">
        <v>254</v>
      </c>
    </row>
    <row r="6" spans="1:11" ht="15" customHeight="1">
      <c r="A6" s="61" t="s">
        <v>255</v>
      </c>
      <c r="B6" s="62" t="s">
        <v>256</v>
      </c>
      <c r="C6" s="63" t="s">
        <v>257</v>
      </c>
      <c r="G6" s="60" t="s">
        <v>258</v>
      </c>
      <c r="K6" s="65" t="s">
        <v>259</v>
      </c>
    </row>
    <row r="7" spans="1:11" ht="15" customHeight="1">
      <c r="A7" s="61" t="s">
        <v>260</v>
      </c>
      <c r="B7" s="62" t="s">
        <v>256</v>
      </c>
      <c r="C7" s="63" t="s">
        <v>261</v>
      </c>
      <c r="G7" s="60" t="s">
        <v>262</v>
      </c>
      <c r="K7" s="66" t="s">
        <v>263</v>
      </c>
    </row>
    <row r="8" spans="1:11" ht="15" customHeight="1">
      <c r="A8" s="61" t="s">
        <v>264</v>
      </c>
      <c r="B8" s="62" t="s">
        <v>256</v>
      </c>
      <c r="C8" s="63" t="s">
        <v>265</v>
      </c>
      <c r="G8" s="60" t="s">
        <v>243</v>
      </c>
      <c r="K8" s="65" t="s">
        <v>266</v>
      </c>
    </row>
    <row r="9" spans="1:11" ht="15" customHeight="1">
      <c r="A9" s="61" t="s">
        <v>267</v>
      </c>
      <c r="B9" s="62" t="s">
        <v>256</v>
      </c>
      <c r="C9" s="63" t="s">
        <v>268</v>
      </c>
      <c r="G9" s="60" t="s">
        <v>269</v>
      </c>
      <c r="K9" s="65" t="s">
        <v>270</v>
      </c>
    </row>
    <row r="10" spans="1:11" ht="15" customHeight="1">
      <c r="A10" s="61" t="s">
        <v>271</v>
      </c>
      <c r="B10" s="62" t="s">
        <v>256</v>
      </c>
      <c r="C10" s="63" t="s">
        <v>272</v>
      </c>
      <c r="G10" s="60" t="s">
        <v>273</v>
      </c>
      <c r="K10" s="65" t="s">
        <v>274</v>
      </c>
    </row>
    <row r="11" spans="1:11" ht="15" customHeight="1">
      <c r="A11" s="61" t="s">
        <v>275</v>
      </c>
      <c r="B11" s="62" t="s">
        <v>253</v>
      </c>
      <c r="C11" s="63" t="s">
        <v>276</v>
      </c>
      <c r="G11" s="60" t="s">
        <v>277</v>
      </c>
      <c r="K11" s="65" t="s">
        <v>278</v>
      </c>
    </row>
    <row r="12" spans="1:11" ht="15" customHeight="1">
      <c r="A12" s="61" t="s">
        <v>279</v>
      </c>
      <c r="B12" s="62" t="s">
        <v>253</v>
      </c>
      <c r="C12" s="63" t="s">
        <v>280</v>
      </c>
      <c r="G12" s="60" t="s">
        <v>281</v>
      </c>
      <c r="K12" s="65" t="s">
        <v>282</v>
      </c>
    </row>
    <row r="13" spans="1:11" ht="15" customHeight="1">
      <c r="A13" s="61" t="s">
        <v>283</v>
      </c>
      <c r="B13" s="62" t="s">
        <v>253</v>
      </c>
      <c r="C13" s="63" t="s">
        <v>284</v>
      </c>
      <c r="G13" s="60" t="s">
        <v>285</v>
      </c>
      <c r="K13" s="65" t="s">
        <v>286</v>
      </c>
    </row>
    <row r="14" spans="1:11" ht="15" customHeight="1">
      <c r="A14" s="61" t="s">
        <v>287</v>
      </c>
      <c r="B14" s="62" t="s">
        <v>245</v>
      </c>
      <c r="C14" s="63" t="s">
        <v>288</v>
      </c>
      <c r="G14" s="60" t="s">
        <v>289</v>
      </c>
      <c r="K14" s="65" t="s">
        <v>290</v>
      </c>
    </row>
    <row r="15" spans="1:11" ht="15" customHeight="1">
      <c r="A15" s="61" t="s">
        <v>291</v>
      </c>
      <c r="B15" s="62" t="s">
        <v>245</v>
      </c>
      <c r="C15" s="63" t="s">
        <v>292</v>
      </c>
      <c r="G15" s="60" t="s">
        <v>293</v>
      </c>
      <c r="K15" s="65" t="s">
        <v>294</v>
      </c>
    </row>
    <row r="16" spans="1:11" ht="15" customHeight="1">
      <c r="A16" s="61" t="s">
        <v>295</v>
      </c>
      <c r="B16" s="62" t="s">
        <v>245</v>
      </c>
      <c r="C16" s="63" t="s">
        <v>296</v>
      </c>
      <c r="G16" s="60" t="s">
        <v>297</v>
      </c>
      <c r="K16" s="59" t="s">
        <v>298</v>
      </c>
    </row>
    <row r="17" spans="1:11" ht="15" customHeight="1">
      <c r="A17" s="61" t="s">
        <v>299</v>
      </c>
      <c r="B17" s="62" t="s">
        <v>269</v>
      </c>
      <c r="C17" s="63" t="s">
        <v>300</v>
      </c>
      <c r="G17" s="60" t="s">
        <v>301</v>
      </c>
      <c r="K17" s="59" t="s">
        <v>302</v>
      </c>
    </row>
    <row r="18" spans="1:11" ht="15" customHeight="1">
      <c r="A18" s="61" t="s">
        <v>303</v>
      </c>
      <c r="B18" s="62" t="s">
        <v>269</v>
      </c>
      <c r="C18" s="63" t="s">
        <v>304</v>
      </c>
      <c r="G18" s="60" t="s">
        <v>256</v>
      </c>
      <c r="K18" s="59" t="s">
        <v>305</v>
      </c>
    </row>
    <row r="19" spans="1:11" ht="15" customHeight="1">
      <c r="A19" s="61" t="s">
        <v>306</v>
      </c>
      <c r="B19" s="62" t="s">
        <v>281</v>
      </c>
      <c r="C19" s="63" t="s">
        <v>307</v>
      </c>
      <c r="G19" s="60" t="s">
        <v>308</v>
      </c>
      <c r="K19" s="59" t="s">
        <v>309</v>
      </c>
    </row>
    <row r="20" spans="1:11" ht="15" customHeight="1">
      <c r="A20" s="61" t="s">
        <v>310</v>
      </c>
      <c r="B20" s="62" t="s">
        <v>281</v>
      </c>
      <c r="C20" s="63" t="s">
        <v>311</v>
      </c>
      <c r="G20" s="60" t="s">
        <v>312</v>
      </c>
      <c r="K20" s="59" t="s">
        <v>313</v>
      </c>
    </row>
    <row r="21" spans="1:11" ht="15" customHeight="1">
      <c r="A21" s="61" t="s">
        <v>314</v>
      </c>
      <c r="B21" s="62" t="s">
        <v>281</v>
      </c>
      <c r="C21" s="63" t="s">
        <v>315</v>
      </c>
      <c r="G21" s="60" t="s">
        <v>316</v>
      </c>
      <c r="K21" s="59" t="s">
        <v>317</v>
      </c>
    </row>
    <row r="22" spans="1:11" ht="15" customHeight="1">
      <c r="A22" s="61" t="s">
        <v>318</v>
      </c>
      <c r="B22" s="62" t="s">
        <v>319</v>
      </c>
      <c r="C22" s="63" t="s">
        <v>320</v>
      </c>
      <c r="G22" s="60" t="s">
        <v>321</v>
      </c>
      <c r="K22" s="59" t="s">
        <v>322</v>
      </c>
    </row>
    <row r="23" spans="1:11" ht="15" customHeight="1">
      <c r="A23" s="61" t="s">
        <v>323</v>
      </c>
      <c r="B23" s="62" t="s">
        <v>319</v>
      </c>
      <c r="C23" s="63" t="s">
        <v>324</v>
      </c>
      <c r="G23" s="60" t="s">
        <v>325</v>
      </c>
      <c r="K23" s="59" t="s">
        <v>326</v>
      </c>
    </row>
    <row r="24" spans="1:11" ht="15" customHeight="1">
      <c r="A24" s="61" t="s">
        <v>327</v>
      </c>
      <c r="B24" s="62" t="s">
        <v>319</v>
      </c>
      <c r="C24" s="63" t="s">
        <v>328</v>
      </c>
      <c r="G24" s="60" t="s">
        <v>329</v>
      </c>
      <c r="K24" s="59" t="s">
        <v>330</v>
      </c>
    </row>
    <row r="25" spans="1:11" ht="15" customHeight="1">
      <c r="A25" s="61" t="s">
        <v>331</v>
      </c>
      <c r="B25" s="62" t="s">
        <v>319</v>
      </c>
      <c r="C25" s="63" t="s">
        <v>332</v>
      </c>
      <c r="G25" s="60" t="s">
        <v>239</v>
      </c>
      <c r="K25" s="59" t="s">
        <v>333</v>
      </c>
    </row>
    <row r="26" spans="1:11" ht="15" customHeight="1">
      <c r="A26" s="61" t="s">
        <v>334</v>
      </c>
      <c r="B26" s="62" t="s">
        <v>335</v>
      </c>
      <c r="C26" s="63" t="s">
        <v>336</v>
      </c>
      <c r="G26" s="60" t="s">
        <v>337</v>
      </c>
      <c r="K26" s="59" t="s">
        <v>338</v>
      </c>
    </row>
    <row r="27" spans="1:11" ht="15" customHeight="1">
      <c r="A27" s="61" t="s">
        <v>339</v>
      </c>
      <c r="B27" s="62" t="s">
        <v>335</v>
      </c>
      <c r="C27" s="63" t="s">
        <v>340</v>
      </c>
      <c r="G27" s="60" t="s">
        <v>341</v>
      </c>
      <c r="K27" s="59" t="s">
        <v>342</v>
      </c>
    </row>
    <row r="28" spans="1:11" ht="15" customHeight="1">
      <c r="A28" s="61" t="s">
        <v>343</v>
      </c>
      <c r="B28" s="62" t="s">
        <v>335</v>
      </c>
      <c r="C28" s="63" t="s">
        <v>344</v>
      </c>
      <c r="G28" s="59" t="s">
        <v>319</v>
      </c>
      <c r="K28" s="59" t="s">
        <v>345</v>
      </c>
    </row>
    <row r="29" spans="1:11" ht="15" customHeight="1">
      <c r="A29" s="61" t="s">
        <v>346</v>
      </c>
      <c r="B29" s="62" t="s">
        <v>335</v>
      </c>
      <c r="C29" s="63" t="s">
        <v>347</v>
      </c>
      <c r="G29" s="59" t="s">
        <v>348</v>
      </c>
    </row>
    <row r="30" spans="1:11" ht="15" customHeight="1">
      <c r="A30" s="61" t="s">
        <v>349</v>
      </c>
      <c r="B30" s="62" t="s">
        <v>335</v>
      </c>
      <c r="C30" s="63" t="s">
        <v>350</v>
      </c>
      <c r="G30" s="59" t="s">
        <v>335</v>
      </c>
    </row>
    <row r="31" spans="1:11" ht="15" customHeight="1">
      <c r="A31" s="61" t="s">
        <v>351</v>
      </c>
      <c r="B31" s="62" t="s">
        <v>301</v>
      </c>
      <c r="C31" s="63" t="s">
        <v>352</v>
      </c>
    </row>
    <row r="32" spans="1:11" ht="15" customHeight="1">
      <c r="A32" s="61" t="s">
        <v>353</v>
      </c>
      <c r="B32" s="62" t="s">
        <v>301</v>
      </c>
      <c r="C32" s="63" t="s">
        <v>354</v>
      </c>
    </row>
    <row r="33" spans="1:3" ht="15" customHeight="1">
      <c r="A33" s="61" t="s">
        <v>355</v>
      </c>
      <c r="B33" s="62" t="s">
        <v>301</v>
      </c>
      <c r="C33" s="63" t="s">
        <v>356</v>
      </c>
    </row>
    <row r="34" spans="1:3" ht="15" customHeight="1">
      <c r="A34" s="61" t="s">
        <v>357</v>
      </c>
      <c r="B34" s="62" t="s">
        <v>301</v>
      </c>
      <c r="C34" s="63" t="s">
        <v>358</v>
      </c>
    </row>
    <row r="35" spans="1:3" ht="15" customHeight="1">
      <c r="A35" s="61">
        <v>11</v>
      </c>
      <c r="B35" s="62" t="s">
        <v>312</v>
      </c>
      <c r="C35" s="63" t="s">
        <v>312</v>
      </c>
    </row>
    <row r="36" spans="1:3" ht="15" customHeight="1">
      <c r="A36" s="61" t="s">
        <v>359</v>
      </c>
      <c r="B36" s="62" t="s">
        <v>297</v>
      </c>
      <c r="C36" s="63" t="s">
        <v>360</v>
      </c>
    </row>
    <row r="37" spans="1:3" ht="15" customHeight="1">
      <c r="A37" s="61" t="s">
        <v>361</v>
      </c>
      <c r="B37" s="62" t="s">
        <v>297</v>
      </c>
      <c r="C37" s="63" t="s">
        <v>362</v>
      </c>
    </row>
    <row r="38" spans="1:3" ht="15" customHeight="1">
      <c r="A38" s="61" t="s">
        <v>242</v>
      </c>
      <c r="B38" s="62" t="s">
        <v>337</v>
      </c>
      <c r="C38" s="63" t="s">
        <v>363</v>
      </c>
    </row>
    <row r="39" spans="1:3" ht="15" customHeight="1">
      <c r="A39" s="61" t="s">
        <v>247</v>
      </c>
      <c r="B39" s="62" t="s">
        <v>337</v>
      </c>
      <c r="C39" s="63" t="s">
        <v>364</v>
      </c>
    </row>
    <row r="40" spans="1:3" ht="15" customHeight="1">
      <c r="A40" s="61" t="s">
        <v>251</v>
      </c>
      <c r="B40" s="62" t="s">
        <v>337</v>
      </c>
      <c r="C40" s="63" t="s">
        <v>365</v>
      </c>
    </row>
    <row r="41" spans="1:3" ht="15" customHeight="1">
      <c r="A41" s="61">
        <v>3</v>
      </c>
      <c r="B41" s="62" t="s">
        <v>321</v>
      </c>
      <c r="C41" s="63" t="s">
        <v>321</v>
      </c>
    </row>
    <row r="42" spans="1:3" ht="15" customHeight="1">
      <c r="A42" s="61">
        <v>4</v>
      </c>
      <c r="B42" s="62" t="s">
        <v>237</v>
      </c>
      <c r="C42" s="63" t="s">
        <v>237</v>
      </c>
    </row>
    <row r="43" spans="1:3" ht="15" customHeight="1">
      <c r="A43" s="61">
        <v>5</v>
      </c>
      <c r="B43" s="62" t="s">
        <v>316</v>
      </c>
      <c r="C43" s="63" t="s">
        <v>316</v>
      </c>
    </row>
    <row r="44" spans="1:3" ht="15" customHeight="1">
      <c r="A44" s="61">
        <v>6</v>
      </c>
      <c r="B44" s="62" t="s">
        <v>249</v>
      </c>
      <c r="C44" s="63" t="s">
        <v>249</v>
      </c>
    </row>
    <row r="45" spans="1:3" ht="15" customHeight="1">
      <c r="A45" s="61" t="s">
        <v>306</v>
      </c>
      <c r="B45" s="62" t="s">
        <v>329</v>
      </c>
      <c r="C45" s="63" t="s">
        <v>366</v>
      </c>
    </row>
    <row r="46" spans="1:3" ht="15" customHeight="1">
      <c r="A46" s="61" t="s">
        <v>310</v>
      </c>
      <c r="B46" s="62" t="s">
        <v>329</v>
      </c>
      <c r="C46" s="63" t="s">
        <v>367</v>
      </c>
    </row>
    <row r="47" spans="1:3" ht="15" customHeight="1">
      <c r="A47" s="64">
        <v>8</v>
      </c>
      <c r="B47" s="62" t="s">
        <v>273</v>
      </c>
      <c r="C47" s="63" t="s">
        <v>273</v>
      </c>
    </row>
    <row r="48" spans="1:3" ht="15" customHeight="1">
      <c r="A48" s="64">
        <v>9</v>
      </c>
      <c r="B48" s="62" t="s">
        <v>289</v>
      </c>
      <c r="C48" s="63" t="s">
        <v>289</v>
      </c>
    </row>
    <row r="49" spans="1:3" ht="15" customHeight="1">
      <c r="A49" s="64">
        <v>10</v>
      </c>
      <c r="B49" s="62" t="s">
        <v>277</v>
      </c>
      <c r="C49" s="63" t="s">
        <v>277</v>
      </c>
    </row>
    <row r="50" spans="1:3" ht="15" customHeight="1">
      <c r="A50" s="64" t="s">
        <v>368</v>
      </c>
      <c r="B50" s="62" t="s">
        <v>285</v>
      </c>
      <c r="C50" s="63" t="s">
        <v>369</v>
      </c>
    </row>
    <row r="51" spans="1:3" ht="15" customHeight="1">
      <c r="A51" s="64" t="s">
        <v>370</v>
      </c>
      <c r="B51" s="62" t="s">
        <v>285</v>
      </c>
      <c r="C51" s="63" t="s">
        <v>371</v>
      </c>
    </row>
    <row r="52" spans="1:3" ht="15" customHeight="1">
      <c r="A52" s="64" t="s">
        <v>372</v>
      </c>
      <c r="B52" s="62" t="s">
        <v>285</v>
      </c>
      <c r="C52" s="63" t="s">
        <v>373</v>
      </c>
    </row>
    <row r="53" spans="1:3" ht="15" customHeight="1">
      <c r="A53" s="64" t="s">
        <v>374</v>
      </c>
      <c r="B53" s="62" t="s">
        <v>285</v>
      </c>
      <c r="C53" s="63" t="s">
        <v>375</v>
      </c>
    </row>
    <row r="54" spans="1:3" ht="15" customHeight="1">
      <c r="A54" s="64">
        <v>12</v>
      </c>
      <c r="B54" s="62" t="s">
        <v>325</v>
      </c>
      <c r="C54" s="63" t="s">
        <v>325</v>
      </c>
    </row>
    <row r="55" spans="1:3" ht="15" customHeight="1">
      <c r="A55" s="64">
        <v>13</v>
      </c>
      <c r="B55" s="62" t="s">
        <v>258</v>
      </c>
      <c r="C55" s="63" t="s">
        <v>258</v>
      </c>
    </row>
    <row r="56" spans="1:3" ht="15" customHeight="1">
      <c r="A56" s="64">
        <v>14</v>
      </c>
      <c r="B56" s="62" t="s">
        <v>293</v>
      </c>
      <c r="C56" s="63" t="s">
        <v>293</v>
      </c>
    </row>
    <row r="57" spans="1:3" ht="15" customHeight="1">
      <c r="A57" s="64" t="s">
        <v>376</v>
      </c>
      <c r="B57" s="62" t="s">
        <v>348</v>
      </c>
      <c r="C57" s="63" t="s">
        <v>377</v>
      </c>
    </row>
    <row r="58" spans="1:3" ht="15" customHeight="1">
      <c r="A58" s="61" t="s">
        <v>378</v>
      </c>
      <c r="B58" s="62" t="s">
        <v>348</v>
      </c>
      <c r="C58" s="63" t="s">
        <v>379</v>
      </c>
    </row>
    <row r="59" spans="1:3" ht="15" customHeight="1">
      <c r="A59" s="61" t="s">
        <v>380</v>
      </c>
      <c r="B59" s="62" t="s">
        <v>348</v>
      </c>
      <c r="C59" s="63" t="s">
        <v>381</v>
      </c>
    </row>
    <row r="60" spans="1:3" ht="15" customHeight="1">
      <c r="A60" s="61" t="s">
        <v>382</v>
      </c>
      <c r="B60" s="62" t="s">
        <v>341</v>
      </c>
      <c r="C60" s="63" t="s">
        <v>383</v>
      </c>
    </row>
    <row r="61" spans="1:3" ht="15" customHeight="1">
      <c r="A61" s="61" t="s">
        <v>384</v>
      </c>
      <c r="B61" s="62" t="s">
        <v>341</v>
      </c>
      <c r="C61" s="63" t="s">
        <v>385</v>
      </c>
    </row>
    <row r="62" spans="1:3" ht="15" customHeight="1">
      <c r="A62" s="61" t="s">
        <v>386</v>
      </c>
      <c r="B62" s="62" t="s">
        <v>341</v>
      </c>
      <c r="C62" s="63" t="s">
        <v>387</v>
      </c>
    </row>
    <row r="63" spans="1:3" ht="15" customHeight="1">
      <c r="A63" s="61">
        <v>16.399999999999999</v>
      </c>
      <c r="B63" s="62" t="s">
        <v>341</v>
      </c>
      <c r="C63" s="63" t="s">
        <v>388</v>
      </c>
    </row>
    <row r="64" spans="1:3" ht="15" customHeight="1">
      <c r="A64" s="61">
        <v>17</v>
      </c>
      <c r="B64" s="62" t="s">
        <v>240</v>
      </c>
      <c r="C64" s="63" t="s">
        <v>240</v>
      </c>
    </row>
    <row r="65" spans="1:3" ht="15" customHeight="1">
      <c r="A65" s="61" t="s">
        <v>389</v>
      </c>
      <c r="B65" s="62" t="s">
        <v>262</v>
      </c>
      <c r="C65" s="63" t="s">
        <v>390</v>
      </c>
    </row>
    <row r="66" spans="1:3" ht="15" customHeight="1">
      <c r="A66" s="64" t="s">
        <v>391</v>
      </c>
      <c r="B66" s="62" t="s">
        <v>262</v>
      </c>
      <c r="C66" s="63" t="s">
        <v>392</v>
      </c>
    </row>
    <row r="67" spans="1:3" ht="15" customHeight="1">
      <c r="A67" s="61" t="s">
        <v>393</v>
      </c>
      <c r="B67" s="62" t="s">
        <v>262</v>
      </c>
      <c r="C67" s="63" t="s">
        <v>394</v>
      </c>
    </row>
    <row r="68" spans="1:3" ht="15" customHeight="1">
      <c r="A68" s="61" t="s">
        <v>395</v>
      </c>
      <c r="B68" s="62" t="s">
        <v>262</v>
      </c>
      <c r="C68" s="63" t="s">
        <v>396</v>
      </c>
    </row>
    <row r="69" spans="1:3" ht="15" customHeight="1">
      <c r="A69" s="61">
        <v>19</v>
      </c>
      <c r="B69" s="62" t="s">
        <v>308</v>
      </c>
      <c r="C69" s="63" t="s">
        <v>308</v>
      </c>
    </row>
  </sheetData>
  <pageMargins left="0.7" right="0.7" top="0.75" bottom="0.75" header="0.3" footer="0.3"/>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tabColor rgb="FF92D050"/>
  </sheetPr>
  <dimension ref="A1:O256"/>
  <sheetViews>
    <sheetView topLeftCell="A124" zoomScale="85" zoomScaleNormal="85" workbookViewId="0">
      <selection activeCell="F143" sqref="F143"/>
    </sheetView>
  </sheetViews>
  <sheetFormatPr defaultColWidth="9" defaultRowHeight="15"/>
  <cols>
    <col min="1" max="1" width="5.7109375" style="1" customWidth="1"/>
    <col min="2" max="2" width="17" customWidth="1"/>
    <col min="3" max="3" width="105.140625" style="2" customWidth="1"/>
    <col min="4" max="4" width="72.5703125" style="3" customWidth="1"/>
    <col min="6" max="6" width="10.140625" customWidth="1"/>
    <col min="7" max="7" width="6.7109375" style="1" customWidth="1"/>
  </cols>
  <sheetData>
    <row r="1" spans="1:9" ht="15.75">
      <c r="A1" s="654" t="s">
        <v>397</v>
      </c>
      <c r="B1" s="654"/>
      <c r="C1" s="654"/>
      <c r="D1" s="654"/>
      <c r="F1" s="4" t="s">
        <v>398</v>
      </c>
      <c r="G1" s="4" t="s">
        <v>399</v>
      </c>
      <c r="I1" s="33" t="s">
        <v>400</v>
      </c>
    </row>
    <row r="2" spans="1:9" ht="15" customHeight="1">
      <c r="A2" s="5" t="s">
        <v>401</v>
      </c>
      <c r="B2" s="6" t="s">
        <v>402</v>
      </c>
      <c r="C2" s="6" t="s">
        <v>403</v>
      </c>
      <c r="D2" s="6" t="s">
        <v>404</v>
      </c>
      <c r="F2" s="7">
        <f ca="1">TODAY()</f>
        <v>46255</v>
      </c>
      <c r="G2" s="8">
        <f ca="1">YEAR(F2)</f>
        <v>2026</v>
      </c>
    </row>
    <row r="3" spans="1:9">
      <c r="A3" s="9">
        <v>1</v>
      </c>
      <c r="B3" s="657" t="s">
        <v>3</v>
      </c>
      <c r="C3" s="10" t="s">
        <v>4</v>
      </c>
      <c r="D3" s="11">
        <f>ИмяСтрахователя</f>
        <v>0</v>
      </c>
      <c r="F3" s="12"/>
    </row>
    <row r="4" spans="1:9">
      <c r="A4" s="9">
        <v>2</v>
      </c>
      <c r="B4" s="658"/>
      <c r="C4" s="13" t="s">
        <v>405</v>
      </c>
      <c r="D4" s="14">
        <f>Основной!E8</f>
        <v>0</v>
      </c>
      <c r="F4" s="12"/>
    </row>
    <row r="5" spans="1:9">
      <c r="A5" s="9">
        <v>3</v>
      </c>
      <c r="B5" s="658"/>
      <c r="C5" s="13" t="s">
        <v>406</v>
      </c>
      <c r="D5" s="15">
        <f>Основной!E9</f>
        <v>0</v>
      </c>
    </row>
    <row r="6" spans="1:9">
      <c r="A6" s="9">
        <v>4</v>
      </c>
      <c r="B6" s="658"/>
      <c r="C6" s="13" t="s">
        <v>407</v>
      </c>
      <c r="D6" s="14">
        <f>Основной!E10</f>
        <v>0</v>
      </c>
    </row>
    <row r="7" spans="1:9">
      <c r="A7" s="9">
        <v>5</v>
      </c>
      <c r="B7" s="658"/>
      <c r="C7" s="13" t="s">
        <v>408</v>
      </c>
      <c r="D7" s="16">
        <f>Основной!C11</f>
        <v>0</v>
      </c>
      <c r="G7" s="17"/>
    </row>
    <row r="8" spans="1:9">
      <c r="A8" s="9">
        <v>6</v>
      </c>
      <c r="B8" s="658"/>
      <c r="C8" s="13" t="s">
        <v>409</v>
      </c>
      <c r="D8" s="18">
        <f>Основной!G11</f>
        <v>0</v>
      </c>
    </row>
    <row r="9" spans="1:9">
      <c r="A9" s="19">
        <v>7</v>
      </c>
      <c r="B9" s="659" t="s">
        <v>410</v>
      </c>
      <c r="C9" s="20" t="s">
        <v>13</v>
      </c>
      <c r="D9" s="21" t="str">
        <f>Основной!E14</f>
        <v>ООО Сторук Воронеж</v>
      </c>
      <c r="F9" s="22"/>
    </row>
    <row r="10" spans="1:9">
      <c r="A10" s="19">
        <v>8</v>
      </c>
      <c r="B10" s="659"/>
      <c r="C10" s="20" t="s">
        <v>411</v>
      </c>
      <c r="D10" s="23">
        <f>Основной!E15</f>
        <v>0</v>
      </c>
    </row>
    <row r="11" spans="1:9">
      <c r="A11" s="19">
        <v>9</v>
      </c>
      <c r="B11" s="659"/>
      <c r="C11" s="20" t="s">
        <v>412</v>
      </c>
      <c r="D11" s="24" t="str">
        <f>Основной!E16</f>
        <v>3665806928</v>
      </c>
    </row>
    <row r="12" spans="1:9">
      <c r="A12" s="19">
        <v>10</v>
      </c>
      <c r="B12" s="659"/>
      <c r="C12" s="20" t="s">
        <v>413</v>
      </c>
      <c r="D12" s="23">
        <f>Основной!E17</f>
        <v>0</v>
      </c>
    </row>
    <row r="13" spans="1:9">
      <c r="A13" s="19">
        <v>11</v>
      </c>
      <c r="B13" s="659"/>
      <c r="C13" s="20" t="s">
        <v>414</v>
      </c>
      <c r="D13" s="23">
        <f>Основной!E18</f>
        <v>0</v>
      </c>
    </row>
    <row r="14" spans="1:9">
      <c r="A14" s="19">
        <v>12</v>
      </c>
      <c r="B14" s="659"/>
      <c r="C14" s="20" t="s">
        <v>415</v>
      </c>
      <c r="D14" s="25">
        <f>Основной!I18</f>
        <v>0</v>
      </c>
    </row>
    <row r="15" spans="1:9">
      <c r="A15" s="19">
        <v>13</v>
      </c>
      <c r="B15" s="659"/>
      <c r="C15" s="20" t="s">
        <v>416</v>
      </c>
      <c r="D15" s="25">
        <f>Основной!K18</f>
        <v>0</v>
      </c>
    </row>
    <row r="16" spans="1:9">
      <c r="A16" s="19">
        <v>14</v>
      </c>
      <c r="B16" s="659"/>
      <c r="C16" s="20" t="s">
        <v>417</v>
      </c>
      <c r="D16" s="23">
        <f>Основной!B20</f>
        <v>0</v>
      </c>
    </row>
    <row r="17" spans="1:4">
      <c r="A17" s="9">
        <v>15</v>
      </c>
      <c r="B17" s="660" t="s">
        <v>418</v>
      </c>
      <c r="C17" s="13" t="s">
        <v>419</v>
      </c>
      <c r="D17" s="26">
        <f>Основной!G21</f>
        <v>0</v>
      </c>
    </row>
    <row r="18" spans="1:4">
      <c r="A18" s="9">
        <v>16</v>
      </c>
      <c r="B18" s="661"/>
      <c r="C18" s="13" t="s">
        <v>420</v>
      </c>
      <c r="D18" s="26">
        <f>Основной!J21</f>
        <v>0</v>
      </c>
    </row>
    <row r="19" spans="1:4">
      <c r="A19" s="19">
        <v>17</v>
      </c>
      <c r="B19" s="659" t="s">
        <v>421</v>
      </c>
      <c r="C19" s="20" t="s">
        <v>422</v>
      </c>
      <c r="D19" s="21">
        <f>Основной!D23</f>
        <v>0</v>
      </c>
    </row>
    <row r="20" spans="1:4">
      <c r="A20" s="19">
        <v>18</v>
      </c>
      <c r="B20" s="662"/>
      <c r="C20" s="20" t="s">
        <v>423</v>
      </c>
      <c r="D20" s="23">
        <f>Основной!J23</f>
        <v>0</v>
      </c>
    </row>
    <row r="21" spans="1:4">
      <c r="A21" s="19">
        <v>19</v>
      </c>
      <c r="B21" s="662"/>
      <c r="C21" s="20" t="s">
        <v>424</v>
      </c>
      <c r="D21" s="21">
        <f>Основной!D24</f>
        <v>0</v>
      </c>
    </row>
    <row r="22" spans="1:4" ht="15" customHeight="1">
      <c r="A22" s="19">
        <v>20</v>
      </c>
      <c r="B22" s="662"/>
      <c r="C22" s="20" t="s">
        <v>425</v>
      </c>
      <c r="D22" s="21">
        <f>Основной!D25</f>
        <v>0</v>
      </c>
    </row>
    <row r="23" spans="1:4">
      <c r="A23" s="19">
        <v>21</v>
      </c>
      <c r="B23" s="662"/>
      <c r="C23" s="20" t="s">
        <v>426</v>
      </c>
      <c r="D23" s="21">
        <f>Основной!D26</f>
        <v>0</v>
      </c>
    </row>
    <row r="24" spans="1:4">
      <c r="A24" s="19">
        <v>22</v>
      </c>
      <c r="B24" s="662"/>
      <c r="C24" s="20" t="s">
        <v>427</v>
      </c>
      <c r="D24" s="21">
        <f>Основной!D27</f>
        <v>0</v>
      </c>
    </row>
    <row r="25" spans="1:4">
      <c r="A25" s="19">
        <v>23</v>
      </c>
      <c r="B25" s="662"/>
      <c r="C25" s="20" t="s">
        <v>428</v>
      </c>
      <c r="D25" s="21">
        <f>Основной!D28</f>
        <v>0</v>
      </c>
    </row>
    <row r="26" spans="1:4">
      <c r="A26" s="19">
        <v>24</v>
      </c>
      <c r="B26" s="662"/>
      <c r="C26" s="20" t="s">
        <v>429</v>
      </c>
      <c r="D26" s="21">
        <f>Основной!G28</f>
        <v>0</v>
      </c>
    </row>
    <row r="27" spans="1:4">
      <c r="A27" s="19">
        <v>25</v>
      </c>
      <c r="B27" s="662"/>
      <c r="C27" s="20" t="s">
        <v>430</v>
      </c>
      <c r="D27" s="21">
        <f>Основной!J28</f>
        <v>0</v>
      </c>
    </row>
    <row r="28" spans="1:4">
      <c r="A28" s="19">
        <v>26</v>
      </c>
      <c r="B28" s="662"/>
      <c r="C28" s="20" t="s">
        <v>431</v>
      </c>
      <c r="D28" s="21">
        <f>Основной!D29</f>
        <v>0</v>
      </c>
    </row>
    <row r="29" spans="1:4">
      <c r="A29" s="9">
        <v>27</v>
      </c>
      <c r="B29" s="657" t="s">
        <v>432</v>
      </c>
      <c r="C29" s="13" t="s">
        <v>433</v>
      </c>
      <c r="D29" s="14">
        <f>Основной!B32</f>
        <v>0</v>
      </c>
    </row>
    <row r="30" spans="1:4" ht="15" customHeight="1">
      <c r="A30" s="9">
        <v>28</v>
      </c>
      <c r="B30" s="663"/>
      <c r="C30" s="13" t="s">
        <v>434</v>
      </c>
      <c r="D30" s="11">
        <f>Основной!B34</f>
        <v>0</v>
      </c>
    </row>
    <row r="31" spans="1:4">
      <c r="A31" s="9">
        <v>29</v>
      </c>
      <c r="B31" s="663"/>
      <c r="C31" s="13" t="s">
        <v>435</v>
      </c>
      <c r="D31" s="11">
        <f>Основной!B36</f>
        <v>0</v>
      </c>
    </row>
    <row r="32" spans="1:4">
      <c r="A32" s="9">
        <v>30</v>
      </c>
      <c r="B32" s="663"/>
      <c r="C32" s="13" t="s">
        <v>436</v>
      </c>
      <c r="D32" s="11">
        <v>0</v>
      </c>
    </row>
    <row r="33" spans="1:4">
      <c r="A33" s="9">
        <v>31</v>
      </c>
      <c r="B33" s="663"/>
      <c r="C33" s="13" t="s">
        <v>437</v>
      </c>
      <c r="D33" s="14">
        <f>Основной!G38</f>
        <v>0</v>
      </c>
    </row>
    <row r="34" spans="1:4">
      <c r="A34" s="9">
        <v>32</v>
      </c>
      <c r="B34" s="663"/>
      <c r="C34" s="13" t="s">
        <v>438</v>
      </c>
      <c r="D34" s="11">
        <v>1</v>
      </c>
    </row>
    <row r="35" spans="1:4">
      <c r="A35" s="9">
        <v>33</v>
      </c>
      <c r="B35" s="663"/>
      <c r="C35" s="13" t="s">
        <v>439</v>
      </c>
      <c r="D35" s="11">
        <f>Основной!D41</f>
        <v>0</v>
      </c>
    </row>
    <row r="36" spans="1:4">
      <c r="A36" s="9">
        <v>34</v>
      </c>
      <c r="B36" s="663"/>
      <c r="C36" s="13" t="s">
        <v>440</v>
      </c>
      <c r="D36" s="11">
        <v>0</v>
      </c>
    </row>
    <row r="37" spans="1:4">
      <c r="A37" s="9">
        <v>35</v>
      </c>
      <c r="B37" s="663"/>
      <c r="C37" s="13" t="s">
        <v>441</v>
      </c>
      <c r="D37" s="11" t="b">
        <v>0</v>
      </c>
    </row>
    <row r="38" spans="1:4">
      <c r="A38" s="19">
        <v>36</v>
      </c>
      <c r="B38" s="664" t="s">
        <v>442</v>
      </c>
      <c r="C38" s="20" t="s">
        <v>443</v>
      </c>
      <c r="D38" s="27">
        <f>Основной!H46</f>
        <v>0</v>
      </c>
    </row>
    <row r="39" spans="1:4">
      <c r="A39" s="19">
        <v>37</v>
      </c>
      <c r="B39" s="664"/>
      <c r="C39" s="20" t="s">
        <v>444</v>
      </c>
      <c r="D39" s="27">
        <f>Основной!J46</f>
        <v>0</v>
      </c>
    </row>
    <row r="40" spans="1:4" ht="15" customHeight="1">
      <c r="A40" s="9">
        <v>38</v>
      </c>
      <c r="B40" s="665" t="s">
        <v>445</v>
      </c>
      <c r="C40" s="13" t="s">
        <v>443</v>
      </c>
      <c r="D40" s="28">
        <f>Основной!H47</f>
        <v>0</v>
      </c>
    </row>
    <row r="41" spans="1:4">
      <c r="A41" s="9">
        <v>39</v>
      </c>
      <c r="B41" s="666"/>
      <c r="C41" s="13" t="s">
        <v>444</v>
      </c>
      <c r="D41" s="28">
        <f>Основной!J47</f>
        <v>0</v>
      </c>
    </row>
    <row r="42" spans="1:4">
      <c r="A42" s="19">
        <v>40</v>
      </c>
      <c r="B42" s="664" t="s">
        <v>57</v>
      </c>
      <c r="C42" s="20" t="s">
        <v>443</v>
      </c>
      <c r="D42" s="27">
        <f>Основной!H48</f>
        <v>0</v>
      </c>
    </row>
    <row r="43" spans="1:4">
      <c r="A43" s="19">
        <v>41</v>
      </c>
      <c r="B43" s="664"/>
      <c r="C43" s="20" t="s">
        <v>444</v>
      </c>
      <c r="D43" s="27">
        <f>Основной!J48</f>
        <v>0</v>
      </c>
    </row>
    <row r="44" spans="1:4">
      <c r="A44" s="9">
        <v>42</v>
      </c>
      <c r="B44" s="667" t="s">
        <v>58</v>
      </c>
      <c r="C44" s="13" t="s">
        <v>443</v>
      </c>
      <c r="D44" s="28">
        <f>Основной!H49</f>
        <v>0</v>
      </c>
    </row>
    <row r="45" spans="1:4">
      <c r="A45" s="9">
        <v>43</v>
      </c>
      <c r="B45" s="667"/>
      <c r="C45" s="13" t="s">
        <v>444</v>
      </c>
      <c r="D45" s="28">
        <f>Основной!J49</f>
        <v>0</v>
      </c>
    </row>
    <row r="46" spans="1:4">
      <c r="A46" s="19">
        <v>44</v>
      </c>
      <c r="B46" s="664" t="s">
        <v>446</v>
      </c>
      <c r="C46" s="20" t="s">
        <v>443</v>
      </c>
      <c r="D46" s="27">
        <f>Основной!H50</f>
        <v>0</v>
      </c>
    </row>
    <row r="47" spans="1:4">
      <c r="A47" s="19">
        <v>45</v>
      </c>
      <c r="B47" s="664"/>
      <c r="C47" s="20" t="s">
        <v>444</v>
      </c>
      <c r="D47" s="27">
        <f>Основной!J50</f>
        <v>0</v>
      </c>
    </row>
    <row r="48" spans="1:4">
      <c r="A48" s="9">
        <v>46</v>
      </c>
      <c r="B48" s="667" t="s">
        <v>447</v>
      </c>
      <c r="C48" s="13" t="s">
        <v>443</v>
      </c>
      <c r="D48" s="28">
        <f>Основной!H51</f>
        <v>0</v>
      </c>
    </row>
    <row r="49" spans="1:4">
      <c r="A49" s="9">
        <v>47</v>
      </c>
      <c r="B49" s="667"/>
      <c r="C49" s="13" t="s">
        <v>444</v>
      </c>
      <c r="D49" s="28">
        <f>Основной!J51</f>
        <v>0</v>
      </c>
    </row>
    <row r="50" spans="1:4" ht="15" customHeight="1">
      <c r="A50" s="19">
        <v>48</v>
      </c>
      <c r="B50" s="664" t="s">
        <v>448</v>
      </c>
      <c r="C50" s="20" t="s">
        <v>443</v>
      </c>
      <c r="D50" s="27">
        <f>Основной!H52</f>
        <v>0</v>
      </c>
    </row>
    <row r="51" spans="1:4" ht="15" customHeight="1">
      <c r="A51" s="19">
        <v>49</v>
      </c>
      <c r="B51" s="664"/>
      <c r="C51" s="20" t="s">
        <v>444</v>
      </c>
      <c r="D51" s="27">
        <f>Основной!J52</f>
        <v>0</v>
      </c>
    </row>
    <row r="52" spans="1:4">
      <c r="A52" s="9">
        <v>50</v>
      </c>
      <c r="B52" s="667" t="s">
        <v>62</v>
      </c>
      <c r="C52" s="13" t="s">
        <v>443</v>
      </c>
      <c r="D52" s="28">
        <f>Основной!H53</f>
        <v>0</v>
      </c>
    </row>
    <row r="53" spans="1:4" ht="15" customHeight="1">
      <c r="A53" s="9">
        <v>51</v>
      </c>
      <c r="B53" s="667"/>
      <c r="C53" s="13" t="s">
        <v>444</v>
      </c>
      <c r="D53" s="28">
        <f>Основной!J53</f>
        <v>0</v>
      </c>
    </row>
    <row r="54" spans="1:4" ht="15" customHeight="1">
      <c r="A54" s="19">
        <v>52</v>
      </c>
      <c r="B54" s="668" t="s">
        <v>449</v>
      </c>
      <c r="C54" s="20" t="s">
        <v>450</v>
      </c>
      <c r="D54" s="23">
        <f>Основной!B55</f>
        <v>0</v>
      </c>
    </row>
    <row r="55" spans="1:4" ht="15" customHeight="1">
      <c r="A55" s="19">
        <v>53</v>
      </c>
      <c r="B55" s="669"/>
      <c r="C55" s="20" t="s">
        <v>451</v>
      </c>
      <c r="D55" s="23">
        <f>Основной!B57</f>
        <v>0</v>
      </c>
    </row>
    <row r="56" spans="1:4" ht="15" customHeight="1">
      <c r="A56" s="19">
        <v>54</v>
      </c>
      <c r="B56" s="669"/>
      <c r="C56" s="20" t="s">
        <v>443</v>
      </c>
      <c r="D56" s="27">
        <f>Основной!H55</f>
        <v>0</v>
      </c>
    </row>
    <row r="57" spans="1:4" ht="15" customHeight="1">
      <c r="A57" s="19">
        <v>55</v>
      </c>
      <c r="B57" s="670"/>
      <c r="C57" s="20" t="s">
        <v>452</v>
      </c>
      <c r="D57" s="27">
        <f>Основной!J55</f>
        <v>0</v>
      </c>
    </row>
    <row r="58" spans="1:4">
      <c r="A58" s="9">
        <v>56</v>
      </c>
      <c r="B58" s="29" t="s">
        <v>453</v>
      </c>
      <c r="C58" s="13" t="s">
        <v>443</v>
      </c>
      <c r="D58" s="28">
        <f>Основной!H58</f>
        <v>0</v>
      </c>
    </row>
    <row r="59" spans="1:4" ht="15" customHeight="1">
      <c r="A59" s="19">
        <v>57</v>
      </c>
      <c r="B59" s="664" t="s">
        <v>454</v>
      </c>
      <c r="C59" s="20" t="s">
        <v>455</v>
      </c>
      <c r="D59" s="23">
        <f>Основной!C59</f>
        <v>0</v>
      </c>
    </row>
    <row r="60" spans="1:4" ht="15" customHeight="1">
      <c r="A60" s="19">
        <v>58</v>
      </c>
      <c r="B60" s="664"/>
      <c r="C60" s="20" t="s">
        <v>443</v>
      </c>
      <c r="D60" s="27">
        <f>Основной!H59</f>
        <v>0</v>
      </c>
    </row>
    <row r="61" spans="1:4" ht="15" customHeight="1">
      <c r="A61" s="19">
        <v>59</v>
      </c>
      <c r="B61" s="664"/>
      <c r="C61" s="20" t="s">
        <v>444</v>
      </c>
      <c r="D61" s="27">
        <f>Основной!J59</f>
        <v>0</v>
      </c>
    </row>
    <row r="62" spans="1:4" ht="15" customHeight="1">
      <c r="A62" s="9">
        <v>60</v>
      </c>
      <c r="B62" s="657" t="s">
        <v>456</v>
      </c>
      <c r="C62" s="30" t="s">
        <v>457</v>
      </c>
      <c r="D62" s="31">
        <f>IF(SUM(D63:D72)&gt;0,1,0)</f>
        <v>0</v>
      </c>
    </row>
    <row r="63" spans="1:4" ht="15" customHeight="1">
      <c r="A63" s="9">
        <v>61</v>
      </c>
      <c r="B63" s="658"/>
      <c r="C63" s="30" t="s">
        <v>458</v>
      </c>
      <c r="D63" s="32">
        <f>Основной!J63</f>
        <v>0</v>
      </c>
    </row>
    <row r="64" spans="1:4" ht="15" customHeight="1">
      <c r="A64" s="9">
        <v>62</v>
      </c>
      <c r="B64" s="658"/>
      <c r="C64" s="30" t="s">
        <v>459</v>
      </c>
      <c r="D64" s="32">
        <f>Основной!J64</f>
        <v>0</v>
      </c>
    </row>
    <row r="65" spans="1:4" ht="15" customHeight="1">
      <c r="A65" s="9">
        <v>63</v>
      </c>
      <c r="B65" s="658"/>
      <c r="C65" s="30" t="s">
        <v>460</v>
      </c>
      <c r="D65" s="32">
        <f>Основной!J65</f>
        <v>0</v>
      </c>
    </row>
    <row r="66" spans="1:4">
      <c r="A66" s="9">
        <v>64</v>
      </c>
      <c r="B66" s="658"/>
      <c r="C66" s="30" t="s">
        <v>461</v>
      </c>
      <c r="D66" s="32">
        <f>Основной!J66</f>
        <v>0</v>
      </c>
    </row>
    <row r="67" spans="1:4" ht="15" customHeight="1">
      <c r="A67" s="9">
        <v>65</v>
      </c>
      <c r="B67" s="658"/>
      <c r="C67" s="30" t="s">
        <v>462</v>
      </c>
      <c r="D67" s="32">
        <f>Основной!J67</f>
        <v>0</v>
      </c>
    </row>
    <row r="68" spans="1:4">
      <c r="A68" s="9">
        <v>66</v>
      </c>
      <c r="B68" s="658"/>
      <c r="C68" s="30" t="s">
        <v>463</v>
      </c>
      <c r="D68" s="32">
        <f>Основной!J68</f>
        <v>0</v>
      </c>
    </row>
    <row r="69" spans="1:4" ht="15" customHeight="1">
      <c r="A69" s="9">
        <v>67</v>
      </c>
      <c r="B69" s="658"/>
      <c r="C69" s="30" t="s">
        <v>464</v>
      </c>
      <c r="D69" s="32">
        <f>Основной!J69</f>
        <v>0</v>
      </c>
    </row>
    <row r="70" spans="1:4" ht="14.25" customHeight="1">
      <c r="A70" s="9">
        <v>68</v>
      </c>
      <c r="B70" s="658"/>
      <c r="C70" s="30" t="s">
        <v>465</v>
      </c>
      <c r="D70" s="32">
        <f>Основной!J70</f>
        <v>0</v>
      </c>
    </row>
    <row r="71" spans="1:4" ht="15" customHeight="1">
      <c r="A71" s="9">
        <v>69</v>
      </c>
      <c r="B71" s="658"/>
      <c r="C71" s="30" t="s">
        <v>466</v>
      </c>
      <c r="D71" s="32">
        <f>Основной!D71</f>
        <v>0</v>
      </c>
    </row>
    <row r="72" spans="1:4" ht="15" customHeight="1">
      <c r="A72" s="9">
        <v>70</v>
      </c>
      <c r="B72" s="658"/>
      <c r="C72" s="30" t="s">
        <v>467</v>
      </c>
      <c r="D72" s="32">
        <f>Основной!J71</f>
        <v>0</v>
      </c>
    </row>
    <row r="73" spans="1:4">
      <c r="A73" s="19">
        <v>71</v>
      </c>
      <c r="B73" s="659" t="s">
        <v>468</v>
      </c>
      <c r="C73" s="34" t="s">
        <v>469</v>
      </c>
      <c r="D73" s="23">
        <v>0</v>
      </c>
    </row>
    <row r="74" spans="1:4">
      <c r="A74" s="19">
        <v>72</v>
      </c>
      <c r="B74" s="662"/>
      <c r="C74" s="34" t="s">
        <v>470</v>
      </c>
      <c r="D74" s="23" t="b">
        <v>1</v>
      </c>
    </row>
    <row r="75" spans="1:4">
      <c r="A75" s="19">
        <v>73</v>
      </c>
      <c r="B75" s="662"/>
      <c r="C75" s="34" t="s">
        <v>471</v>
      </c>
      <c r="D75" s="23" t="b">
        <v>1</v>
      </c>
    </row>
    <row r="76" spans="1:4">
      <c r="A76" s="19">
        <v>74</v>
      </c>
      <c r="B76" s="662"/>
      <c r="C76" s="34" t="s">
        <v>472</v>
      </c>
      <c r="D76" s="23" t="b">
        <v>1</v>
      </c>
    </row>
    <row r="77" spans="1:4">
      <c r="A77" s="19">
        <v>75</v>
      </c>
      <c r="B77" s="662"/>
      <c r="C77" s="34" t="s">
        <v>473</v>
      </c>
      <c r="D77" s="23" t="b">
        <v>1</v>
      </c>
    </row>
    <row r="78" spans="1:4">
      <c r="A78" s="19">
        <v>76</v>
      </c>
      <c r="B78" s="662"/>
      <c r="C78" s="34" t="s">
        <v>474</v>
      </c>
      <c r="D78" s="23" t="b">
        <v>1</v>
      </c>
    </row>
    <row r="79" spans="1:4">
      <c r="A79" s="19">
        <v>77</v>
      </c>
      <c r="B79" s="662"/>
      <c r="C79" s="34" t="s">
        <v>475</v>
      </c>
      <c r="D79" s="23" t="b">
        <v>0</v>
      </c>
    </row>
    <row r="80" spans="1:4">
      <c r="A80" s="19">
        <v>78</v>
      </c>
      <c r="B80" s="662"/>
      <c r="C80" s="34" t="s">
        <v>476</v>
      </c>
      <c r="D80" s="23" t="b">
        <v>0</v>
      </c>
    </row>
    <row r="81" spans="1:15">
      <c r="A81" s="19">
        <v>79</v>
      </c>
      <c r="B81" s="662"/>
      <c r="C81" s="34" t="s">
        <v>477</v>
      </c>
      <c r="D81" s="23" t="b">
        <v>1</v>
      </c>
    </row>
    <row r="82" spans="1:15">
      <c r="A82" s="19">
        <v>80</v>
      </c>
      <c r="B82" s="662"/>
      <c r="C82" s="34" t="s">
        <v>478</v>
      </c>
      <c r="D82" s="23" t="b">
        <v>0</v>
      </c>
    </row>
    <row r="83" spans="1:15" ht="15" customHeight="1">
      <c r="A83" s="9">
        <v>81</v>
      </c>
      <c r="B83" s="671" t="s">
        <v>479</v>
      </c>
      <c r="C83" s="30" t="s">
        <v>480</v>
      </c>
      <c r="D83" s="11" t="b">
        <v>0</v>
      </c>
    </row>
    <row r="84" spans="1:15">
      <c r="A84" s="9">
        <v>82</v>
      </c>
      <c r="B84" s="672"/>
      <c r="C84" s="30" t="s">
        <v>481</v>
      </c>
      <c r="D84" s="35">
        <f>Основной!J76</f>
        <v>0</v>
      </c>
    </row>
    <row r="85" spans="1:15">
      <c r="A85" s="9">
        <v>83</v>
      </c>
      <c r="B85" s="672"/>
      <c r="C85" s="30" t="s">
        <v>482</v>
      </c>
      <c r="D85" s="11" t="b">
        <v>0</v>
      </c>
    </row>
    <row r="86" spans="1:15">
      <c r="A86" s="9">
        <v>84</v>
      </c>
      <c r="B86" s="673"/>
      <c r="C86" s="30" t="s">
        <v>483</v>
      </c>
      <c r="D86" s="32">
        <f>Основной!J77</f>
        <v>0</v>
      </c>
    </row>
    <row r="87" spans="1:15">
      <c r="A87" s="19">
        <v>85</v>
      </c>
      <c r="B87" s="674" t="s">
        <v>484</v>
      </c>
      <c r="C87" s="36" t="s">
        <v>485</v>
      </c>
      <c r="D87" s="23">
        <f>Основной!F79</f>
        <v>0</v>
      </c>
    </row>
    <row r="88" spans="1:15">
      <c r="A88" s="19">
        <v>86</v>
      </c>
      <c r="B88" s="662"/>
      <c r="C88" s="34" t="s">
        <v>486</v>
      </c>
      <c r="D88" s="21" t="str">
        <f>Основной!K79</f>
        <v>1-2</v>
      </c>
      <c r="F88" s="37"/>
      <c r="G88" s="38"/>
      <c r="H88" s="37"/>
      <c r="I88" s="37"/>
      <c r="J88" s="37"/>
      <c r="K88" s="37"/>
      <c r="L88" s="37"/>
      <c r="M88" s="37"/>
      <c r="N88" s="37"/>
      <c r="O88" s="37"/>
    </row>
    <row r="89" spans="1:15" ht="15" customHeight="1">
      <c r="A89" s="19">
        <v>87</v>
      </c>
      <c r="B89" s="662"/>
      <c r="C89" s="34" t="s">
        <v>487</v>
      </c>
      <c r="D89" s="23">
        <v>2</v>
      </c>
    </row>
    <row r="90" spans="1:15">
      <c r="A90" s="19">
        <v>88</v>
      </c>
      <c r="B90" s="662"/>
      <c r="C90" s="34" t="s">
        <v>488</v>
      </c>
      <c r="D90" s="24">
        <f>Основной!H81</f>
        <v>0</v>
      </c>
    </row>
    <row r="91" spans="1:15">
      <c r="A91" s="19">
        <v>89</v>
      </c>
      <c r="B91" s="662"/>
      <c r="C91" s="34" t="s">
        <v>489</v>
      </c>
      <c r="D91" s="27">
        <f>Основной!E82</f>
        <v>0</v>
      </c>
    </row>
    <row r="92" spans="1:15">
      <c r="A92" s="19">
        <v>90</v>
      </c>
      <c r="B92" s="662"/>
      <c r="C92" s="34" t="s">
        <v>490</v>
      </c>
      <c r="D92" s="27">
        <f>Основной!J82</f>
        <v>0</v>
      </c>
    </row>
    <row r="93" spans="1:15">
      <c r="A93" s="19">
        <v>91</v>
      </c>
      <c r="B93" s="662"/>
      <c r="C93" s="34" t="s">
        <v>491</v>
      </c>
      <c r="D93" s="23">
        <v>1</v>
      </c>
    </row>
    <row r="94" spans="1:15">
      <c r="A94" s="19">
        <v>92</v>
      </c>
      <c r="B94" s="662"/>
      <c r="C94" s="34" t="s">
        <v>492</v>
      </c>
      <c r="D94" s="23">
        <v>1</v>
      </c>
    </row>
    <row r="95" spans="1:15">
      <c r="A95" s="19">
        <v>93</v>
      </c>
      <c r="B95" s="662"/>
      <c r="C95" s="34" t="s">
        <v>493</v>
      </c>
      <c r="D95" s="23">
        <f>Основной!D85</f>
        <v>0</v>
      </c>
    </row>
    <row r="96" spans="1:15" ht="15" customHeight="1">
      <c r="A96" s="19">
        <v>94</v>
      </c>
      <c r="B96" s="662"/>
      <c r="C96" s="34" t="s">
        <v>494</v>
      </c>
      <c r="D96" s="23">
        <v>1</v>
      </c>
    </row>
    <row r="97" spans="1:4">
      <c r="A97" s="19">
        <v>95</v>
      </c>
      <c r="B97" s="662"/>
      <c r="C97" s="34" t="s">
        <v>495</v>
      </c>
      <c r="D97" s="23">
        <f>Основной!D87</f>
        <v>0</v>
      </c>
    </row>
    <row r="98" spans="1:4">
      <c r="A98" s="19">
        <v>96</v>
      </c>
      <c r="B98" s="662"/>
      <c r="C98" s="34" t="s">
        <v>496</v>
      </c>
      <c r="D98" s="23">
        <v>2</v>
      </c>
    </row>
    <row r="99" spans="1:4">
      <c r="A99" s="19">
        <v>97</v>
      </c>
      <c r="B99" s="662"/>
      <c r="C99" s="34" t="s">
        <v>497</v>
      </c>
      <c r="D99" s="23">
        <v>2</v>
      </c>
    </row>
    <row r="100" spans="1:4" ht="15" customHeight="1">
      <c r="A100" s="19">
        <v>98</v>
      </c>
      <c r="B100" s="662"/>
      <c r="C100" s="34" t="s">
        <v>498</v>
      </c>
      <c r="D100" s="21">
        <f>Основной!F91</f>
        <v>0</v>
      </c>
    </row>
    <row r="101" spans="1:4">
      <c r="A101" s="19">
        <v>99</v>
      </c>
      <c r="B101" s="662"/>
      <c r="C101" s="34" t="s">
        <v>499</v>
      </c>
      <c r="D101" s="23">
        <v>1</v>
      </c>
    </row>
    <row r="102" spans="1:4" ht="15" customHeight="1">
      <c r="A102" s="19">
        <v>100</v>
      </c>
      <c r="B102" s="662"/>
      <c r="C102" s="34" t="s">
        <v>500</v>
      </c>
      <c r="D102" s="21">
        <f>Основной!F93</f>
        <v>0</v>
      </c>
    </row>
    <row r="103" spans="1:4">
      <c r="A103" s="19">
        <v>101</v>
      </c>
      <c r="B103" s="662"/>
      <c r="C103" s="34" t="s">
        <v>501</v>
      </c>
      <c r="D103" s="23">
        <v>2</v>
      </c>
    </row>
    <row r="104" spans="1:4" ht="15" customHeight="1">
      <c r="A104" s="19">
        <v>102</v>
      </c>
      <c r="B104" s="662"/>
      <c r="C104" s="34" t="s">
        <v>502</v>
      </c>
      <c r="D104" s="21">
        <f>Основной!F95</f>
        <v>0</v>
      </c>
    </row>
    <row r="105" spans="1:4">
      <c r="A105" s="19">
        <v>103</v>
      </c>
      <c r="B105" s="662"/>
      <c r="C105" s="34" t="s">
        <v>105</v>
      </c>
      <c r="D105" s="23">
        <v>2</v>
      </c>
    </row>
    <row r="106" spans="1:4" ht="15" customHeight="1">
      <c r="A106" s="19">
        <v>104</v>
      </c>
      <c r="B106" s="662"/>
      <c r="C106" s="34" t="s">
        <v>503</v>
      </c>
      <c r="D106" s="23">
        <v>0</v>
      </c>
    </row>
    <row r="107" spans="1:4">
      <c r="A107" s="19">
        <v>105</v>
      </c>
      <c r="B107" s="662"/>
      <c r="C107" s="34" t="s">
        <v>504</v>
      </c>
      <c r="D107" s="23">
        <v>2</v>
      </c>
    </row>
    <row r="108" spans="1:4">
      <c r="A108" s="19">
        <v>106</v>
      </c>
      <c r="B108" s="662"/>
      <c r="C108" s="34" t="s">
        <v>110</v>
      </c>
      <c r="D108" s="23">
        <v>4</v>
      </c>
    </row>
    <row r="109" spans="1:4" ht="15" customHeight="1">
      <c r="A109" s="19">
        <v>107</v>
      </c>
      <c r="B109" s="662"/>
      <c r="C109" s="34" t="s">
        <v>505</v>
      </c>
      <c r="D109" s="23">
        <v>2</v>
      </c>
    </row>
    <row r="110" spans="1:4">
      <c r="A110" s="19">
        <v>108</v>
      </c>
      <c r="B110" s="662"/>
      <c r="C110" s="34" t="s">
        <v>506</v>
      </c>
      <c r="D110" s="23">
        <v>1</v>
      </c>
    </row>
    <row r="111" spans="1:4">
      <c r="A111" s="19">
        <v>109</v>
      </c>
      <c r="B111" s="662"/>
      <c r="C111" s="34" t="s">
        <v>507</v>
      </c>
      <c r="D111" s="23">
        <v>1</v>
      </c>
    </row>
    <row r="112" spans="1:4">
      <c r="A112" s="19">
        <v>110</v>
      </c>
      <c r="B112" s="662"/>
      <c r="C112" s="34" t="s">
        <v>508</v>
      </c>
      <c r="D112" s="23">
        <v>1</v>
      </c>
    </row>
    <row r="113" spans="1:4">
      <c r="A113" s="19">
        <v>111</v>
      </c>
      <c r="B113" s="662"/>
      <c r="C113" s="34" t="s">
        <v>509</v>
      </c>
      <c r="D113" s="23">
        <v>2</v>
      </c>
    </row>
    <row r="114" spans="1:4">
      <c r="A114" s="19">
        <v>112</v>
      </c>
      <c r="B114" s="662"/>
      <c r="C114" s="34" t="s">
        <v>117</v>
      </c>
      <c r="D114" s="23">
        <v>0</v>
      </c>
    </row>
    <row r="115" spans="1:4">
      <c r="A115" s="19">
        <v>113</v>
      </c>
      <c r="B115" s="662"/>
      <c r="C115" s="34" t="s">
        <v>118</v>
      </c>
      <c r="D115" s="23">
        <v>2</v>
      </c>
    </row>
    <row r="116" spans="1:4">
      <c r="A116" s="19">
        <v>114</v>
      </c>
      <c r="B116" s="662"/>
      <c r="C116" s="34" t="s">
        <v>119</v>
      </c>
      <c r="D116" s="23">
        <v>2</v>
      </c>
    </row>
    <row r="117" spans="1:4">
      <c r="A117" s="19">
        <v>115</v>
      </c>
      <c r="B117" s="662"/>
      <c r="C117" s="34" t="s">
        <v>120</v>
      </c>
      <c r="D117" s="23">
        <v>3</v>
      </c>
    </row>
    <row r="118" spans="1:4">
      <c r="A118" s="19">
        <v>116</v>
      </c>
      <c r="B118" s="662"/>
      <c r="C118" s="34" t="s">
        <v>510</v>
      </c>
      <c r="D118" s="24">
        <f>Основной!I111</f>
        <v>0</v>
      </c>
    </row>
    <row r="119" spans="1:4">
      <c r="A119" s="19">
        <v>117</v>
      </c>
      <c r="B119" s="662"/>
      <c r="C119" s="34" t="s">
        <v>122</v>
      </c>
      <c r="D119" s="23">
        <v>2</v>
      </c>
    </row>
    <row r="120" spans="1:4">
      <c r="A120" s="19">
        <v>118</v>
      </c>
      <c r="B120" s="662"/>
      <c r="C120" s="34" t="s">
        <v>511</v>
      </c>
      <c r="D120" s="23">
        <v>1</v>
      </c>
    </row>
    <row r="121" spans="1:4">
      <c r="A121" s="9">
        <v>119</v>
      </c>
      <c r="B121" s="661" t="s">
        <v>512</v>
      </c>
      <c r="C121" s="39" t="s">
        <v>513</v>
      </c>
      <c r="D121" s="26">
        <f>Основной!B116</f>
        <v>0</v>
      </c>
    </row>
    <row r="122" spans="1:4">
      <c r="A122" s="9">
        <v>120</v>
      </c>
      <c r="B122" s="675"/>
      <c r="C122" s="39" t="s">
        <v>514</v>
      </c>
      <c r="D122" s="11">
        <f>Основной!D116</f>
        <v>0</v>
      </c>
    </row>
    <row r="123" spans="1:4">
      <c r="A123" s="9">
        <v>121</v>
      </c>
      <c r="B123" s="675"/>
      <c r="C123" s="39" t="s">
        <v>515</v>
      </c>
      <c r="D123" s="28">
        <f>Основной!I116</f>
        <v>0</v>
      </c>
    </row>
    <row r="124" spans="1:4">
      <c r="A124" s="19">
        <v>122</v>
      </c>
      <c r="B124" s="676" t="s">
        <v>516</v>
      </c>
      <c r="C124" s="41" t="s">
        <v>513</v>
      </c>
      <c r="D124" s="25">
        <f>Основной!B117</f>
        <v>0</v>
      </c>
    </row>
    <row r="125" spans="1:4">
      <c r="A125" s="19">
        <v>123</v>
      </c>
      <c r="B125" s="677"/>
      <c r="C125" s="41" t="s">
        <v>514</v>
      </c>
      <c r="D125" s="23">
        <f>Основной!D117</f>
        <v>0</v>
      </c>
    </row>
    <row r="126" spans="1:4">
      <c r="A126" s="19">
        <v>124</v>
      </c>
      <c r="B126" s="677"/>
      <c r="C126" s="41" t="s">
        <v>515</v>
      </c>
      <c r="D126" s="27">
        <f>Основной!I117</f>
        <v>0</v>
      </c>
    </row>
    <row r="127" spans="1:4">
      <c r="A127" s="9">
        <v>125</v>
      </c>
      <c r="B127" s="661" t="s">
        <v>517</v>
      </c>
      <c r="C127" s="39" t="s">
        <v>513</v>
      </c>
      <c r="D127" s="26">
        <f>Основной!B118</f>
        <v>0</v>
      </c>
    </row>
    <row r="128" spans="1:4">
      <c r="A128" s="9">
        <v>126</v>
      </c>
      <c r="B128" s="675"/>
      <c r="C128" s="39" t="s">
        <v>514</v>
      </c>
      <c r="D128" s="11">
        <f>Основной!D118</f>
        <v>0</v>
      </c>
    </row>
    <row r="129" spans="1:4">
      <c r="A129" s="9">
        <v>127</v>
      </c>
      <c r="B129" s="675"/>
      <c r="C129" s="39" t="s">
        <v>515</v>
      </c>
      <c r="D129" s="28">
        <f>Основной!I118</f>
        <v>0</v>
      </c>
    </row>
    <row r="130" spans="1:4" ht="15" customHeight="1">
      <c r="A130" s="19">
        <v>128</v>
      </c>
      <c r="B130" s="678" t="s">
        <v>518</v>
      </c>
      <c r="C130" s="41" t="s">
        <v>519</v>
      </c>
      <c r="D130" s="27" t="b">
        <v>0</v>
      </c>
    </row>
    <row r="131" spans="1:4" ht="15" customHeight="1">
      <c r="A131" s="19">
        <v>129</v>
      </c>
      <c r="B131" s="678"/>
      <c r="C131" s="41" t="s">
        <v>520</v>
      </c>
      <c r="D131" s="27" t="b">
        <v>0</v>
      </c>
    </row>
    <row r="132" spans="1:4">
      <c r="A132" s="19">
        <v>130</v>
      </c>
      <c r="B132" s="678"/>
      <c r="C132" s="42" t="s">
        <v>521</v>
      </c>
      <c r="D132" s="27" t="b">
        <v>0</v>
      </c>
    </row>
    <row r="133" spans="1:4">
      <c r="A133" s="19">
        <v>131</v>
      </c>
      <c r="B133" s="678"/>
      <c r="C133" s="41" t="s">
        <v>522</v>
      </c>
      <c r="D133" s="27" t="b">
        <v>0</v>
      </c>
    </row>
    <row r="134" spans="1:4">
      <c r="A134" s="19">
        <v>132</v>
      </c>
      <c r="B134" s="678"/>
      <c r="C134" s="41" t="s">
        <v>523</v>
      </c>
      <c r="D134" s="27" t="b">
        <v>0</v>
      </c>
    </row>
    <row r="135" spans="1:4">
      <c r="A135" s="19">
        <v>133</v>
      </c>
      <c r="B135" s="678"/>
      <c r="C135" s="41" t="s">
        <v>524</v>
      </c>
      <c r="D135" s="27" t="b">
        <v>0</v>
      </c>
    </row>
    <row r="137" spans="1:4" ht="15.75">
      <c r="A137" s="654" t="s">
        <v>525</v>
      </c>
      <c r="B137" s="654"/>
      <c r="C137" s="654"/>
      <c r="D137" s="654"/>
    </row>
    <row r="138" spans="1:4">
      <c r="A138" s="6" t="s">
        <v>401</v>
      </c>
      <c r="B138" s="6" t="s">
        <v>402</v>
      </c>
      <c r="C138" s="6" t="s">
        <v>403</v>
      </c>
      <c r="D138" s="6" t="s">
        <v>404</v>
      </c>
    </row>
    <row r="139" spans="1:4">
      <c r="A139" s="9">
        <v>1</v>
      </c>
      <c r="B139" s="661" t="s">
        <v>526</v>
      </c>
      <c r="C139" s="30" t="s">
        <v>527</v>
      </c>
      <c r="D139" s="28">
        <f>MB!E4</f>
        <v>0</v>
      </c>
    </row>
    <row r="140" spans="1:4">
      <c r="A140" s="9">
        <v>2</v>
      </c>
      <c r="B140" s="661"/>
      <c r="C140" s="30" t="s">
        <v>528</v>
      </c>
      <c r="D140" s="28">
        <f>MB!J4</f>
        <v>0</v>
      </c>
    </row>
    <row r="141" spans="1:4" ht="15" customHeight="1">
      <c r="A141" s="19">
        <v>3</v>
      </c>
      <c r="B141" s="679" t="s">
        <v>529</v>
      </c>
      <c r="C141" s="34" t="s">
        <v>530</v>
      </c>
      <c r="D141" s="23" t="b">
        <v>0</v>
      </c>
    </row>
    <row r="142" spans="1:4">
      <c r="A142" s="19">
        <v>4</v>
      </c>
      <c r="B142" s="680"/>
      <c r="C142" s="34" t="s">
        <v>531</v>
      </c>
      <c r="D142" s="23" t="b">
        <v>0</v>
      </c>
    </row>
    <row r="143" spans="1:4">
      <c r="A143" s="19">
        <v>5</v>
      </c>
      <c r="B143" s="680"/>
      <c r="C143" s="34" t="s">
        <v>532</v>
      </c>
      <c r="D143" s="23" t="b">
        <v>0</v>
      </c>
    </row>
    <row r="144" spans="1:4">
      <c r="A144" s="19">
        <v>6</v>
      </c>
      <c r="B144" s="680"/>
      <c r="C144" s="34" t="s">
        <v>533</v>
      </c>
      <c r="D144" s="23" t="b">
        <v>0</v>
      </c>
    </row>
    <row r="145" spans="1:4">
      <c r="A145" s="19">
        <v>7</v>
      </c>
      <c r="B145" s="680"/>
      <c r="C145" s="34" t="s">
        <v>475</v>
      </c>
      <c r="D145" s="23" t="b">
        <v>0</v>
      </c>
    </row>
    <row r="146" spans="1:4">
      <c r="A146" s="19">
        <v>8</v>
      </c>
      <c r="B146" s="680"/>
      <c r="C146" s="34" t="s">
        <v>534</v>
      </c>
      <c r="D146" s="23" t="b">
        <v>0</v>
      </c>
    </row>
    <row r="147" spans="1:4">
      <c r="A147" s="19">
        <v>9</v>
      </c>
      <c r="B147" s="680"/>
      <c r="C147" s="34" t="s">
        <v>535</v>
      </c>
      <c r="D147" s="23" t="b">
        <v>0</v>
      </c>
    </row>
    <row r="148" spans="1:4">
      <c r="A148" s="19">
        <v>10</v>
      </c>
      <c r="B148" s="680"/>
      <c r="C148" s="34" t="s">
        <v>536</v>
      </c>
      <c r="D148" s="23" t="b">
        <v>0</v>
      </c>
    </row>
    <row r="149" spans="1:4">
      <c r="A149" s="19">
        <v>11</v>
      </c>
      <c r="B149" s="680"/>
      <c r="C149" s="34" t="s">
        <v>537</v>
      </c>
      <c r="D149" s="23" t="b">
        <v>0</v>
      </c>
    </row>
    <row r="150" spans="1:4">
      <c r="A150" s="19">
        <v>12</v>
      </c>
      <c r="B150" s="681"/>
      <c r="C150" s="34" t="s">
        <v>538</v>
      </c>
      <c r="D150" s="43" t="b">
        <v>0</v>
      </c>
    </row>
    <row r="151" spans="1:4" ht="15.75">
      <c r="A151" s="654" t="s">
        <v>539</v>
      </c>
      <c r="B151" s="654"/>
      <c r="C151" s="654"/>
      <c r="D151" s="654"/>
    </row>
    <row r="152" spans="1:4">
      <c r="A152" s="6" t="s">
        <v>401</v>
      </c>
      <c r="B152" s="6" t="s">
        <v>402</v>
      </c>
      <c r="C152" s="6" t="s">
        <v>403</v>
      </c>
      <c r="D152" s="6" t="s">
        <v>404</v>
      </c>
    </row>
    <row r="153" spans="1:4">
      <c r="A153" s="9">
        <v>1</v>
      </c>
      <c r="B153" s="44" t="s">
        <v>540</v>
      </c>
      <c r="C153" s="30" t="s">
        <v>540</v>
      </c>
      <c r="D153" s="15">
        <f>BI!J3</f>
        <v>0</v>
      </c>
    </row>
    <row r="154" spans="1:4">
      <c r="A154" s="19">
        <v>2</v>
      </c>
      <c r="B154" s="682" t="s">
        <v>541</v>
      </c>
      <c r="C154" s="34" t="s">
        <v>542</v>
      </c>
      <c r="D154" s="21" t="str">
        <f>BI!B5</f>
        <v>Заработная плата рабочих и служащих Страхователя</v>
      </c>
    </row>
    <row r="155" spans="1:4">
      <c r="A155" s="19">
        <v>3</v>
      </c>
      <c r="B155" s="683"/>
      <c r="C155" s="34" t="s">
        <v>443</v>
      </c>
      <c r="D155" s="27">
        <f>BI!J5</f>
        <v>0</v>
      </c>
    </row>
    <row r="156" spans="1:4">
      <c r="A156" s="9">
        <v>4</v>
      </c>
      <c r="B156" s="684" t="s">
        <v>543</v>
      </c>
      <c r="C156" s="30" t="s">
        <v>542</v>
      </c>
      <c r="D156" s="14" t="str">
        <f>BI!B6</f>
        <v>Платежи органам социального страхования и аналогичные им платежи</v>
      </c>
    </row>
    <row r="157" spans="1:4">
      <c r="A157" s="9">
        <v>5</v>
      </c>
      <c r="B157" s="685"/>
      <c r="C157" s="30" t="s">
        <v>443</v>
      </c>
      <c r="D157" s="28">
        <f>BI!J6</f>
        <v>0</v>
      </c>
    </row>
    <row r="158" spans="1:4">
      <c r="A158" s="19">
        <v>6</v>
      </c>
      <c r="B158" s="682" t="s">
        <v>544</v>
      </c>
      <c r="C158" s="34" t="s">
        <v>542</v>
      </c>
      <c r="D158" s="21" t="str">
        <f>BI!B7</f>
        <v>Плата за аренду помещений, оборудования или иного арендуемого имущества</v>
      </c>
    </row>
    <row r="159" spans="1:4">
      <c r="A159" s="19">
        <v>7</v>
      </c>
      <c r="B159" s="683"/>
      <c r="C159" s="34" t="s">
        <v>443</v>
      </c>
      <c r="D159" s="27">
        <f>BI!J7</f>
        <v>0</v>
      </c>
    </row>
    <row r="160" spans="1:4">
      <c r="A160" s="9">
        <v>8</v>
      </c>
      <c r="B160" s="684" t="s">
        <v>545</v>
      </c>
      <c r="C160" s="30" t="s">
        <v>542</v>
      </c>
      <c r="D160" s="14" t="str">
        <f>BI!B8</f>
        <v>Налоги и сборы, подлежащие оплате вне зависимости от оборота и результатов хозяйственной деятельности</v>
      </c>
    </row>
    <row r="161" spans="1:4">
      <c r="A161" s="9">
        <v>9</v>
      </c>
      <c r="B161" s="685"/>
      <c r="C161" s="30" t="s">
        <v>443</v>
      </c>
      <c r="D161" s="28">
        <f>BI!J8</f>
        <v>0</v>
      </c>
    </row>
    <row r="162" spans="1:4">
      <c r="A162" s="19">
        <v>10</v>
      </c>
      <c r="B162" s="682" t="s">
        <v>546</v>
      </c>
      <c r="C162" s="34" t="s">
        <v>542</v>
      </c>
      <c r="D162" s="21" t="str">
        <f>BI!B9</f>
        <v>Проценты по кредитам или иным привлеченным средствам</v>
      </c>
    </row>
    <row r="163" spans="1:4">
      <c r="A163" s="19">
        <v>11</v>
      </c>
      <c r="B163" s="683"/>
      <c r="C163" s="34" t="s">
        <v>443</v>
      </c>
      <c r="D163" s="27">
        <f>BI!J9</f>
        <v>0</v>
      </c>
    </row>
    <row r="164" spans="1:4">
      <c r="A164" s="9">
        <v>12</v>
      </c>
      <c r="B164" s="684" t="s">
        <v>547</v>
      </c>
      <c r="C164" s="30" t="s">
        <v>542</v>
      </c>
      <c r="D164" s="14" t="str">
        <f>BI!B10</f>
        <v>Амортизационные отчисления по нормам, установленным для предприятия Страхователя</v>
      </c>
    </row>
    <row r="165" spans="1:4">
      <c r="A165" s="9">
        <v>13</v>
      </c>
      <c r="B165" s="685"/>
      <c r="C165" s="30" t="s">
        <v>443</v>
      </c>
      <c r="D165" s="28">
        <f>BI!J10</f>
        <v>0</v>
      </c>
    </row>
    <row r="166" spans="1:4">
      <c r="A166" s="19">
        <v>14</v>
      </c>
      <c r="B166" s="682" t="s">
        <v>548</v>
      </c>
      <c r="C166" s="34" t="s">
        <v>542</v>
      </c>
      <c r="D166" s="45" t="str">
        <f>BI!B11</f>
        <v>Сумма чистой прибыли (прибыли после налогообложения)</v>
      </c>
    </row>
    <row r="167" spans="1:4">
      <c r="A167" s="19">
        <v>15</v>
      </c>
      <c r="B167" s="683"/>
      <c r="C167" s="34" t="s">
        <v>443</v>
      </c>
      <c r="D167" s="27">
        <f>BI!J11</f>
        <v>0</v>
      </c>
    </row>
    <row r="168" spans="1:4">
      <c r="A168" s="9">
        <v>16</v>
      </c>
      <c r="B168" s="684" t="s">
        <v>549</v>
      </c>
      <c r="C168" s="30" t="s">
        <v>542</v>
      </c>
      <c r="D168" s="18" t="str">
        <f>BI!B12</f>
        <v>Сумма поступлений арендных платежей (платежей от сдачи в аренду помещений)</v>
      </c>
    </row>
    <row r="169" spans="1:4">
      <c r="A169" s="9">
        <v>17</v>
      </c>
      <c r="B169" s="685"/>
      <c r="C169" s="30" t="s">
        <v>443</v>
      </c>
      <c r="D169" s="28">
        <f>BI!J12</f>
        <v>0</v>
      </c>
    </row>
    <row r="170" spans="1:4">
      <c r="A170" s="19">
        <v>18</v>
      </c>
      <c r="B170" s="682" t="s">
        <v>550</v>
      </c>
      <c r="C170" s="34" t="s">
        <v>542</v>
      </c>
      <c r="D170" s="45" t="str">
        <f>BI!B13</f>
        <v>Свой вариант 1 (указать наименование)</v>
      </c>
    </row>
    <row r="171" spans="1:4">
      <c r="A171" s="19">
        <v>19</v>
      </c>
      <c r="B171" s="683"/>
      <c r="C171" s="34" t="s">
        <v>443</v>
      </c>
      <c r="D171" s="27">
        <f>BI!J13</f>
        <v>0</v>
      </c>
    </row>
    <row r="172" spans="1:4">
      <c r="A172" s="9">
        <v>20</v>
      </c>
      <c r="B172" s="684" t="s">
        <v>551</v>
      </c>
      <c r="C172" s="30" t="s">
        <v>542</v>
      </c>
      <c r="D172" s="18" t="str">
        <f>BI!B14</f>
        <v>Свой вариант 2 (указать наименование)</v>
      </c>
    </row>
    <row r="173" spans="1:4">
      <c r="A173" s="9">
        <v>21</v>
      </c>
      <c r="B173" s="685"/>
      <c r="C173" s="30" t="s">
        <v>443</v>
      </c>
      <c r="D173" s="28">
        <f>BI!J14</f>
        <v>0</v>
      </c>
    </row>
    <row r="174" spans="1:4">
      <c r="A174" s="40">
        <v>22</v>
      </c>
      <c r="B174" s="686" t="s">
        <v>552</v>
      </c>
      <c r="C174" s="34" t="s">
        <v>553</v>
      </c>
      <c r="D174" s="23" t="b">
        <v>0</v>
      </c>
    </row>
    <row r="175" spans="1:4">
      <c r="A175" s="40">
        <v>23</v>
      </c>
      <c r="B175" s="687"/>
      <c r="C175" s="34" t="s">
        <v>554</v>
      </c>
      <c r="D175" s="23" t="b">
        <v>0</v>
      </c>
    </row>
    <row r="176" spans="1:4">
      <c r="A176" s="40">
        <v>24</v>
      </c>
      <c r="B176" s="687"/>
      <c r="C176" s="34" t="s">
        <v>555</v>
      </c>
      <c r="D176" s="23" t="b">
        <v>0</v>
      </c>
    </row>
    <row r="177" spans="1:4">
      <c r="A177" s="40">
        <v>25</v>
      </c>
      <c r="B177" s="688"/>
      <c r="C177" s="34" t="s">
        <v>556</v>
      </c>
      <c r="D177" s="23" t="b">
        <v>0</v>
      </c>
    </row>
    <row r="179" spans="1:4" ht="15.75">
      <c r="A179" s="654" t="s">
        <v>557</v>
      </c>
      <c r="B179" s="654"/>
      <c r="C179" s="654"/>
      <c r="D179" s="654"/>
    </row>
    <row r="180" spans="1:4">
      <c r="A180" s="6" t="s">
        <v>401</v>
      </c>
      <c r="B180" s="6" t="s">
        <v>402</v>
      </c>
      <c r="C180" s="6" t="s">
        <v>403</v>
      </c>
      <c r="D180" s="6" t="s">
        <v>404</v>
      </c>
    </row>
    <row r="181" spans="1:4">
      <c r="A181" s="9">
        <v>1</v>
      </c>
      <c r="B181" s="661" t="s">
        <v>526</v>
      </c>
      <c r="C181" s="46" t="s">
        <v>527</v>
      </c>
      <c r="D181" s="28">
        <f>EE!E4</f>
        <v>0</v>
      </c>
    </row>
    <row r="182" spans="1:4">
      <c r="A182" s="9">
        <v>2</v>
      </c>
      <c r="B182" s="661"/>
      <c r="C182" s="30" t="s">
        <v>528</v>
      </c>
      <c r="D182" s="28">
        <f>EE!J4</f>
        <v>0</v>
      </c>
    </row>
    <row r="183" spans="1:4">
      <c r="A183" s="19"/>
      <c r="B183" s="689" t="s">
        <v>529</v>
      </c>
      <c r="C183" s="47" t="s">
        <v>558</v>
      </c>
      <c r="D183" s="23" t="b">
        <v>0</v>
      </c>
    </row>
    <row r="184" spans="1:4">
      <c r="A184" s="19"/>
      <c r="B184" s="690"/>
      <c r="C184" s="47" t="s">
        <v>559</v>
      </c>
      <c r="D184" s="23" t="b">
        <v>0</v>
      </c>
    </row>
    <row r="185" spans="1:4">
      <c r="A185" s="19"/>
      <c r="B185" s="690"/>
      <c r="C185" s="47" t="s">
        <v>560</v>
      </c>
      <c r="D185" s="23" t="b">
        <v>0</v>
      </c>
    </row>
    <row r="186" spans="1:4">
      <c r="A186" s="19"/>
      <c r="B186" s="690"/>
      <c r="C186" s="47" t="s">
        <v>561</v>
      </c>
      <c r="D186" s="23" t="b">
        <v>0</v>
      </c>
    </row>
    <row r="187" spans="1:4">
      <c r="A187" s="19"/>
      <c r="B187" s="690"/>
      <c r="C187" s="48" t="s">
        <v>562</v>
      </c>
      <c r="D187" s="23" t="b">
        <v>0</v>
      </c>
    </row>
    <row r="188" spans="1:4">
      <c r="A188" s="19"/>
      <c r="B188" s="691"/>
      <c r="C188" s="48" t="s">
        <v>563</v>
      </c>
      <c r="D188" s="23" t="b">
        <v>0</v>
      </c>
    </row>
    <row r="190" spans="1:4" ht="15.75">
      <c r="A190" s="654" t="s">
        <v>564</v>
      </c>
      <c r="B190" s="654"/>
      <c r="C190" s="654"/>
      <c r="D190" s="654"/>
    </row>
    <row r="191" spans="1:4">
      <c r="A191" s="6" t="s">
        <v>401</v>
      </c>
      <c r="B191" s="6" t="s">
        <v>402</v>
      </c>
      <c r="C191" s="6" t="s">
        <v>403</v>
      </c>
      <c r="D191" s="6" t="s">
        <v>404</v>
      </c>
    </row>
    <row r="192" spans="1:4">
      <c r="A192" s="9">
        <v>1</v>
      </c>
      <c r="B192" s="49"/>
      <c r="C192" s="30" t="s">
        <v>565</v>
      </c>
      <c r="D192" s="14">
        <f>Авто!F3</f>
        <v>0</v>
      </c>
    </row>
    <row r="193" spans="1:4">
      <c r="A193" s="19">
        <v>2</v>
      </c>
      <c r="B193" s="50"/>
      <c r="C193" s="34" t="s">
        <v>566</v>
      </c>
      <c r="D193" s="23">
        <f>Авто!F4</f>
        <v>0</v>
      </c>
    </row>
    <row r="194" spans="1:4">
      <c r="A194" s="9">
        <v>3</v>
      </c>
      <c r="B194" s="49"/>
      <c r="C194" s="30" t="s">
        <v>567</v>
      </c>
      <c r="D194" s="11">
        <f>Авто!F5</f>
        <v>0</v>
      </c>
    </row>
    <row r="195" spans="1:4" ht="15" customHeight="1">
      <c r="A195" s="19">
        <v>4</v>
      </c>
      <c r="B195" s="692" t="s">
        <v>568</v>
      </c>
      <c r="C195" s="34" t="s">
        <v>569</v>
      </c>
      <c r="D195" s="23">
        <f>Авто!F7</f>
        <v>0</v>
      </c>
    </row>
    <row r="196" spans="1:4">
      <c r="A196" s="19">
        <v>5</v>
      </c>
      <c r="B196" s="693"/>
      <c r="C196" s="34" t="s">
        <v>570</v>
      </c>
      <c r="D196" s="23">
        <f>Авто!F8</f>
        <v>0</v>
      </c>
    </row>
    <row r="197" spans="1:4">
      <c r="A197" s="19">
        <v>6</v>
      </c>
      <c r="B197" s="693"/>
      <c r="C197" s="34" t="s">
        <v>571</v>
      </c>
      <c r="D197" s="23">
        <f>Авто!F9</f>
        <v>0</v>
      </c>
    </row>
    <row r="198" spans="1:4">
      <c r="A198" s="19">
        <v>7</v>
      </c>
      <c r="B198" s="693"/>
      <c r="C198" s="34" t="s">
        <v>572</v>
      </c>
      <c r="D198" s="23">
        <v>0</v>
      </c>
    </row>
    <row r="199" spans="1:4">
      <c r="A199" s="19">
        <v>8</v>
      </c>
      <c r="B199" s="693"/>
      <c r="C199" s="34" t="s">
        <v>573</v>
      </c>
      <c r="D199" s="23">
        <v>0</v>
      </c>
    </row>
    <row r="200" spans="1:4">
      <c r="A200" s="19">
        <v>9</v>
      </c>
      <c r="B200" s="693"/>
      <c r="C200" s="34" t="s">
        <v>574</v>
      </c>
      <c r="D200" s="23">
        <v>0</v>
      </c>
    </row>
    <row r="201" spans="1:4">
      <c r="A201" s="19">
        <v>10</v>
      </c>
      <c r="B201" s="693"/>
      <c r="C201" s="34" t="s">
        <v>575</v>
      </c>
      <c r="D201" s="23">
        <v>0</v>
      </c>
    </row>
    <row r="202" spans="1:4">
      <c r="A202" s="19">
        <v>11</v>
      </c>
      <c r="B202" s="694"/>
      <c r="C202" s="34" t="s">
        <v>576</v>
      </c>
      <c r="D202" s="23">
        <v>0</v>
      </c>
    </row>
    <row r="204" spans="1:4" ht="15.75">
      <c r="A204" s="654" t="s">
        <v>577</v>
      </c>
      <c r="B204" s="654"/>
      <c r="C204" s="654"/>
      <c r="D204" s="654"/>
    </row>
    <row r="205" spans="1:4">
      <c r="A205" s="6" t="s">
        <v>401</v>
      </c>
      <c r="B205" s="6" t="s">
        <v>402</v>
      </c>
      <c r="C205" s="6" t="s">
        <v>403</v>
      </c>
      <c r="D205" s="6" t="s">
        <v>404</v>
      </c>
    </row>
    <row r="206" spans="1:4">
      <c r="A206" s="9">
        <v>1</v>
      </c>
      <c r="B206" s="661" t="s">
        <v>578</v>
      </c>
      <c r="C206" s="30" t="s">
        <v>579</v>
      </c>
      <c r="D206" s="11" t="b">
        <v>0</v>
      </c>
    </row>
    <row r="207" spans="1:4">
      <c r="A207" s="9">
        <v>2</v>
      </c>
      <c r="B207" s="675"/>
      <c r="C207" s="30" t="s">
        <v>580</v>
      </c>
      <c r="D207" s="11" t="b">
        <v>0</v>
      </c>
    </row>
    <row r="208" spans="1:4">
      <c r="A208" s="19">
        <v>3</v>
      </c>
      <c r="B208" s="659" t="s">
        <v>581</v>
      </c>
      <c r="C208" s="34" t="s">
        <v>582</v>
      </c>
      <c r="D208" s="24">
        <f>'ТМЦ в холодильнике'!G6</f>
        <v>0</v>
      </c>
    </row>
    <row r="209" spans="1:4">
      <c r="A209" s="19">
        <v>4</v>
      </c>
      <c r="B209" s="695"/>
      <c r="C209" s="34" t="s">
        <v>583</v>
      </c>
      <c r="D209" s="23">
        <f>'ТМЦ в холодильнике'!G7</f>
        <v>0</v>
      </c>
    </row>
    <row r="210" spans="1:4">
      <c r="A210" s="19">
        <v>5</v>
      </c>
      <c r="B210" s="695"/>
      <c r="C210" s="34" t="s">
        <v>584</v>
      </c>
      <c r="D210" s="51">
        <f>'ТМЦ в холодильнике'!G8</f>
        <v>0</v>
      </c>
    </row>
    <row r="211" spans="1:4">
      <c r="A211" s="19">
        <v>6</v>
      </c>
      <c r="B211" s="695"/>
      <c r="C211" s="34" t="s">
        <v>585</v>
      </c>
      <c r="D211" s="51">
        <f>'ТМЦ в холодильнике'!G9</f>
        <v>0</v>
      </c>
    </row>
    <row r="212" spans="1:4">
      <c r="A212" s="19">
        <v>7</v>
      </c>
      <c r="B212" s="695"/>
      <c r="C212" s="34" t="s">
        <v>586</v>
      </c>
      <c r="D212" s="51">
        <f>'ТМЦ в холодильнике'!G10</f>
        <v>0</v>
      </c>
    </row>
    <row r="213" spans="1:4">
      <c r="A213" s="19">
        <v>8</v>
      </c>
      <c r="B213" s="695"/>
      <c r="C213" s="34" t="s">
        <v>587</v>
      </c>
      <c r="D213" s="52">
        <f>'ТМЦ в холодильнике'!G11</f>
        <v>0</v>
      </c>
    </row>
    <row r="214" spans="1:4">
      <c r="A214" s="19">
        <v>9</v>
      </c>
      <c r="B214" s="695"/>
      <c r="C214" s="34" t="s">
        <v>588</v>
      </c>
      <c r="D214" s="53">
        <f>'ТМЦ в холодильнике'!G12</f>
        <v>0</v>
      </c>
    </row>
    <row r="215" spans="1:4">
      <c r="A215" s="19">
        <v>10</v>
      </c>
      <c r="B215" s="695"/>
      <c r="C215" s="34" t="s">
        <v>589</v>
      </c>
      <c r="D215" s="53">
        <f>'ТМЦ в холодильнике'!G13</f>
        <v>0</v>
      </c>
    </row>
    <row r="216" spans="1:4">
      <c r="A216" s="19">
        <v>11</v>
      </c>
      <c r="B216" s="695"/>
      <c r="C216" s="34" t="s">
        <v>590</v>
      </c>
      <c r="D216" s="51">
        <f>'ТМЦ в холодильнике'!G14</f>
        <v>0</v>
      </c>
    </row>
    <row r="217" spans="1:4">
      <c r="A217" s="19">
        <v>12</v>
      </c>
      <c r="B217" s="695"/>
      <c r="C217" s="34" t="s">
        <v>591</v>
      </c>
      <c r="D217" s="54">
        <f>'ТМЦ в холодильнике'!G15</f>
        <v>0</v>
      </c>
    </row>
    <row r="218" spans="1:4">
      <c r="A218" s="19">
        <v>13</v>
      </c>
      <c r="B218" s="695"/>
      <c r="C218" s="34" t="s">
        <v>592</v>
      </c>
      <c r="D218" s="23">
        <v>0</v>
      </c>
    </row>
    <row r="219" spans="1:4">
      <c r="A219" s="19">
        <v>14</v>
      </c>
      <c r="B219" s="695"/>
      <c r="C219" s="34" t="s">
        <v>593</v>
      </c>
      <c r="D219" s="23">
        <f>'ТМЦ в холодильнике'!G17</f>
        <v>0</v>
      </c>
    </row>
    <row r="220" spans="1:4">
      <c r="A220" s="19">
        <v>15</v>
      </c>
      <c r="B220" s="695"/>
      <c r="C220" s="34" t="s">
        <v>594</v>
      </c>
      <c r="D220" s="23">
        <f>'ТМЦ в холодильнике'!G18</f>
        <v>0</v>
      </c>
    </row>
    <row r="221" spans="1:4">
      <c r="A221" s="19">
        <v>16</v>
      </c>
      <c r="B221" s="695"/>
      <c r="C221" s="34" t="s">
        <v>595</v>
      </c>
      <c r="D221" s="23">
        <f>'ТМЦ в холодильнике'!G19</f>
        <v>0</v>
      </c>
    </row>
    <row r="222" spans="1:4">
      <c r="A222" s="19">
        <v>17</v>
      </c>
      <c r="B222" s="695"/>
      <c r="C222" s="34" t="s">
        <v>596</v>
      </c>
      <c r="D222" s="25">
        <f>'ТМЦ в холодильнике'!G20</f>
        <v>0</v>
      </c>
    </row>
    <row r="223" spans="1:4">
      <c r="A223" s="19">
        <v>18</v>
      </c>
      <c r="B223" s="695"/>
      <c r="C223" s="34" t="s">
        <v>597</v>
      </c>
      <c r="D223" s="25">
        <f>'ТМЦ в холодильнике'!G21</f>
        <v>0</v>
      </c>
    </row>
    <row r="224" spans="1:4">
      <c r="A224" s="9">
        <v>19</v>
      </c>
      <c r="B224" s="657" t="s">
        <v>598</v>
      </c>
      <c r="C224" s="30" t="s">
        <v>599</v>
      </c>
      <c r="D224" s="26">
        <f>'ТМЦ в холодильнике'!G23</f>
        <v>0</v>
      </c>
    </row>
    <row r="225" spans="1:4">
      <c r="A225" s="9">
        <v>20</v>
      </c>
      <c r="B225" s="663"/>
      <c r="C225" s="30" t="s">
        <v>600</v>
      </c>
      <c r="D225" s="14">
        <f>'ТМЦ в холодильнике'!G24</f>
        <v>0</v>
      </c>
    </row>
    <row r="226" spans="1:4">
      <c r="A226" s="9">
        <v>21</v>
      </c>
      <c r="B226" s="663"/>
      <c r="C226" s="30" t="s">
        <v>601</v>
      </c>
      <c r="D226" s="11">
        <v>1</v>
      </c>
    </row>
    <row r="227" spans="1:4">
      <c r="A227" s="9">
        <v>22</v>
      </c>
      <c r="B227" s="663"/>
      <c r="C227" s="30" t="s">
        <v>602</v>
      </c>
      <c r="D227" s="11">
        <v>0</v>
      </c>
    </row>
    <row r="228" spans="1:4">
      <c r="A228" s="9">
        <v>23</v>
      </c>
      <c r="B228" s="663"/>
      <c r="C228" s="30" t="s">
        <v>603</v>
      </c>
      <c r="D228" s="11">
        <f>'ТМЦ в холодильнике'!G27</f>
        <v>0</v>
      </c>
    </row>
    <row r="229" spans="1:4">
      <c r="A229" s="9">
        <v>24</v>
      </c>
      <c r="B229" s="663"/>
      <c r="C229" s="30" t="s">
        <v>604</v>
      </c>
      <c r="D229" s="11">
        <v>0</v>
      </c>
    </row>
    <row r="230" spans="1:4" ht="15" customHeight="1">
      <c r="A230" s="9">
        <v>25</v>
      </c>
      <c r="B230" s="663"/>
      <c r="C230" s="30" t="s">
        <v>605</v>
      </c>
      <c r="D230" s="55">
        <f>'ТМЦ в холодильнике'!K29</f>
        <v>0</v>
      </c>
    </row>
    <row r="231" spans="1:4" ht="15" customHeight="1">
      <c r="A231" s="19">
        <v>26</v>
      </c>
      <c r="B231" s="696" t="s">
        <v>606</v>
      </c>
      <c r="C231" s="56" t="s">
        <v>607</v>
      </c>
      <c r="D231" s="23">
        <f>'ТМЦ в холодильнике'!G31</f>
        <v>0</v>
      </c>
    </row>
    <row r="232" spans="1:4">
      <c r="A232" s="19">
        <v>27</v>
      </c>
      <c r="B232" s="696"/>
      <c r="C232" s="34" t="s">
        <v>608</v>
      </c>
      <c r="D232" s="23">
        <f>'ТМЦ в холодильнике'!G32</f>
        <v>0</v>
      </c>
    </row>
    <row r="233" spans="1:4">
      <c r="A233" s="19">
        <v>28</v>
      </c>
      <c r="B233" s="696"/>
      <c r="C233" s="34" t="s">
        <v>609</v>
      </c>
      <c r="D233" s="23">
        <v>0</v>
      </c>
    </row>
    <row r="234" spans="1:4">
      <c r="A234" s="9">
        <v>29</v>
      </c>
      <c r="B234" s="697" t="s">
        <v>610</v>
      </c>
      <c r="C234" s="30" t="s">
        <v>611</v>
      </c>
      <c r="D234" s="11">
        <v>0</v>
      </c>
    </row>
    <row r="235" spans="1:4">
      <c r="A235" s="9">
        <v>30</v>
      </c>
      <c r="B235" s="697"/>
      <c r="C235" s="30" t="s">
        <v>612</v>
      </c>
      <c r="D235" s="11">
        <f>'ТМЦ в холодильнике'!G36</f>
        <v>0</v>
      </c>
    </row>
    <row r="236" spans="1:4">
      <c r="A236" s="9">
        <v>31</v>
      </c>
      <c r="B236" s="697"/>
      <c r="C236" s="30" t="s">
        <v>613</v>
      </c>
      <c r="D236" s="28">
        <f>'ТМЦ в холодильнике'!G37</f>
        <v>0</v>
      </c>
    </row>
    <row r="238" spans="1:4" ht="15.75">
      <c r="A238" s="655" t="s">
        <v>614</v>
      </c>
      <c r="B238" s="655"/>
      <c r="C238" s="655"/>
      <c r="D238" s="655"/>
    </row>
    <row r="239" spans="1:4">
      <c r="A239" s="6" t="s">
        <v>401</v>
      </c>
      <c r="B239" s="6" t="s">
        <v>402</v>
      </c>
      <c r="C239" s="6" t="s">
        <v>403</v>
      </c>
      <c r="D239" s="6" t="s">
        <v>404</v>
      </c>
    </row>
    <row r="240" spans="1:4" ht="15" customHeight="1">
      <c r="A240" s="19">
        <v>1</v>
      </c>
      <c r="B240" s="674" t="s">
        <v>615</v>
      </c>
      <c r="C240" s="34" t="s">
        <v>616</v>
      </c>
      <c r="D240" s="51">
        <f>'Ювелирные изделия и меха'!$J$3</f>
        <v>0</v>
      </c>
    </row>
    <row r="241" spans="1:4" ht="15" customHeight="1">
      <c r="A241" s="19">
        <v>2</v>
      </c>
      <c r="B241" s="662"/>
      <c r="C241" s="34" t="s">
        <v>617</v>
      </c>
      <c r="D241" s="23">
        <f>'Ювелирные изделия и меха'!$H$4</f>
        <v>0</v>
      </c>
    </row>
    <row r="242" spans="1:4" ht="15" customHeight="1">
      <c r="A242" s="19">
        <v>3</v>
      </c>
      <c r="B242" s="662"/>
      <c r="C242" s="34" t="s">
        <v>618</v>
      </c>
      <c r="D242" s="23">
        <v>0</v>
      </c>
    </row>
    <row r="243" spans="1:4">
      <c r="A243" s="19">
        <v>4</v>
      </c>
      <c r="B243" s="662"/>
      <c r="C243" s="34" t="s">
        <v>619</v>
      </c>
      <c r="D243" s="23">
        <v>0</v>
      </c>
    </row>
    <row r="244" spans="1:4">
      <c r="A244" s="19">
        <v>5</v>
      </c>
      <c r="B244" s="662"/>
      <c r="C244" s="34" t="s">
        <v>620</v>
      </c>
      <c r="D244" s="23">
        <v>0</v>
      </c>
    </row>
    <row r="245" spans="1:4">
      <c r="A245" s="19">
        <v>6</v>
      </c>
      <c r="B245" s="662"/>
      <c r="C245" s="34" t="s">
        <v>621</v>
      </c>
      <c r="D245" s="51">
        <f>'Ювелирные изделия и меха'!$H$8</f>
        <v>0</v>
      </c>
    </row>
    <row r="246" spans="1:4">
      <c r="A246" s="19">
        <v>7</v>
      </c>
      <c r="B246" s="662"/>
      <c r="C246" s="34" t="s">
        <v>622</v>
      </c>
      <c r="D246" s="23">
        <v>0</v>
      </c>
    </row>
    <row r="247" spans="1:4">
      <c r="A247" s="19">
        <v>8</v>
      </c>
      <c r="B247" s="662"/>
      <c r="C247" s="34" t="s">
        <v>623</v>
      </c>
      <c r="D247" s="23">
        <v>0</v>
      </c>
    </row>
    <row r="248" spans="1:4">
      <c r="A248" s="19">
        <v>9</v>
      </c>
      <c r="B248" s="662"/>
      <c r="C248" s="34" t="s">
        <v>624</v>
      </c>
      <c r="D248" s="23">
        <v>0</v>
      </c>
    </row>
    <row r="249" spans="1:4">
      <c r="A249" s="19">
        <v>10</v>
      </c>
      <c r="B249" s="662"/>
      <c r="C249" s="34" t="s">
        <v>625</v>
      </c>
      <c r="D249" s="23">
        <v>0</v>
      </c>
    </row>
    <row r="250" spans="1:4">
      <c r="A250" s="19">
        <v>11</v>
      </c>
      <c r="B250" s="662"/>
      <c r="C250" s="34" t="s">
        <v>626</v>
      </c>
      <c r="D250" s="23">
        <v>0</v>
      </c>
    </row>
    <row r="251" spans="1:4">
      <c r="A251" s="19">
        <v>12</v>
      </c>
      <c r="B251" s="662"/>
      <c r="C251" s="34" t="s">
        <v>627</v>
      </c>
      <c r="D251" s="23">
        <v>0</v>
      </c>
    </row>
    <row r="252" spans="1:4">
      <c r="A252" s="19">
        <v>13</v>
      </c>
      <c r="B252" s="662"/>
      <c r="C252" s="34" t="s">
        <v>628</v>
      </c>
      <c r="D252" s="23">
        <v>0</v>
      </c>
    </row>
    <row r="253" spans="1:4">
      <c r="A253" s="19">
        <v>14</v>
      </c>
      <c r="B253" s="662"/>
      <c r="C253" s="34" t="s">
        <v>629</v>
      </c>
      <c r="D253" s="23">
        <v>0</v>
      </c>
    </row>
    <row r="254" spans="1:4">
      <c r="A254" s="19">
        <v>15</v>
      </c>
      <c r="B254" s="662"/>
      <c r="C254" s="34" t="s">
        <v>630</v>
      </c>
      <c r="D254" s="23">
        <v>0</v>
      </c>
    </row>
    <row r="256" spans="1:4">
      <c r="A256" s="656"/>
      <c r="B256" s="656"/>
      <c r="C256" s="57" t="s">
        <v>631</v>
      </c>
      <c r="D256" s="58">
        <f>Основной!B121</f>
        <v>0</v>
      </c>
    </row>
  </sheetData>
  <mergeCells count="53">
    <mergeCell ref="B240:B254"/>
    <mergeCell ref="B206:B207"/>
    <mergeCell ref="B208:B223"/>
    <mergeCell ref="B224:B230"/>
    <mergeCell ref="B231:B233"/>
    <mergeCell ref="B234:B236"/>
    <mergeCell ref="B172:B173"/>
    <mergeCell ref="B174:B177"/>
    <mergeCell ref="B181:B182"/>
    <mergeCell ref="B183:B188"/>
    <mergeCell ref="B195:B202"/>
    <mergeCell ref="B162:B163"/>
    <mergeCell ref="B164:B165"/>
    <mergeCell ref="B166:B167"/>
    <mergeCell ref="B168:B169"/>
    <mergeCell ref="B170:B171"/>
    <mergeCell ref="B141:B150"/>
    <mergeCell ref="B154:B155"/>
    <mergeCell ref="B156:B157"/>
    <mergeCell ref="B158:B159"/>
    <mergeCell ref="B160:B161"/>
    <mergeCell ref="A204:D204"/>
    <mergeCell ref="A238:D238"/>
    <mergeCell ref="A256:B256"/>
    <mergeCell ref="B3:B8"/>
    <mergeCell ref="B9:B16"/>
    <mergeCell ref="B17:B18"/>
    <mergeCell ref="B19:B28"/>
    <mergeCell ref="B29:B37"/>
    <mergeCell ref="B38:B39"/>
    <mergeCell ref="B40:B41"/>
    <mergeCell ref="B42:B43"/>
    <mergeCell ref="B44:B45"/>
    <mergeCell ref="B46:B47"/>
    <mergeCell ref="B48:B49"/>
    <mergeCell ref="B50:B51"/>
    <mergeCell ref="B52:B53"/>
    <mergeCell ref="A1:D1"/>
    <mergeCell ref="A137:D137"/>
    <mergeCell ref="A151:D151"/>
    <mergeCell ref="A179:D179"/>
    <mergeCell ref="A190:D190"/>
    <mergeCell ref="B54:B57"/>
    <mergeCell ref="B59:B61"/>
    <mergeCell ref="B62:B72"/>
    <mergeCell ref="B73:B82"/>
    <mergeCell ref="B83:B86"/>
    <mergeCell ref="B87:B120"/>
    <mergeCell ref="B121:B123"/>
    <mergeCell ref="B124:B126"/>
    <mergeCell ref="B127:B129"/>
    <mergeCell ref="B130:B135"/>
    <mergeCell ref="B139:B140"/>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2" master="" otherUserPermission="visible"/>
  <rangeList sheetStid="14" master="" otherUserPermission="visible"/>
  <rangeList sheetStid="15" master="" otherUserPermission="visible"/>
  <rangeList sheetStid="16" master="" otherUserPermission="visible"/>
  <rangeList sheetStid="18" master="" otherUserPermission="visible"/>
  <rangeList sheetStid="19" master="" otherUserPermission="visible"/>
  <rangeList sheetStid="20" master="" otherUserPermission="visible"/>
  <rangeList sheetStid="21" master="" otherUserPermission="visible"/>
  <rangeList sheetStid="2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8</vt:i4>
      </vt:variant>
    </vt:vector>
  </HeadingPairs>
  <TitlesOfParts>
    <vt:vector size="17" baseType="lpstr">
      <vt:lpstr>Основной</vt:lpstr>
      <vt:lpstr>MB</vt:lpstr>
      <vt:lpstr>BI</vt:lpstr>
      <vt:lpstr>EE</vt:lpstr>
      <vt:lpstr>Авто</vt:lpstr>
      <vt:lpstr>ТМЦ в холодильнике</vt:lpstr>
      <vt:lpstr>Ювелирные изделия и меха</vt:lpstr>
      <vt:lpstr>перечень</vt:lpstr>
      <vt:lpstr>Export</vt:lpstr>
      <vt:lpstr>ИмяСтрахователя</vt:lpstr>
      <vt:lpstr>BI!Область_печати</vt:lpstr>
      <vt:lpstr>EE!Область_печати</vt:lpstr>
      <vt:lpstr>MB!Область_печати</vt:lpstr>
      <vt:lpstr>Авто!Область_печати</vt:lpstr>
      <vt:lpstr>Основной!Область_печати</vt:lpstr>
      <vt:lpstr>'ТМЦ в холодильнике'!Область_печати</vt:lpstr>
      <vt:lpstr>'Ювелирные изделия и меха'!Область_печати</vt:lpstr>
    </vt:vector>
  </TitlesOfParts>
  <Company>Сбербанк России</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Комаров Денис Геннадьевич</dc:creator>
  <cp:lastModifiedBy>Katana</cp:lastModifiedBy>
  <cp:lastPrinted>2019-06-05T12:00:00Z</cp:lastPrinted>
  <dcterms:created xsi:type="dcterms:W3CDTF">2015-03-17T15:10:00Z</dcterms:created>
  <dcterms:modified xsi:type="dcterms:W3CDTF">2026-08-21T11:39:06Z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2f0b804-62e0-47d9-bc61-31b566d2ec1e_Enabled">
    <vt:lpwstr>true</vt:lpwstr>
  </property>
  <property fmtid="{D5CDD505-2E9C-101B-9397-08002B2CF9AE}" pid="3" name="MSIP_Label_22f0b804-62e0-47d9-bc61-31b566d2ec1e_SetDate">
    <vt:lpwstr>2021-08-18T15:58:11Z</vt:lpwstr>
  </property>
  <property fmtid="{D5CDD505-2E9C-101B-9397-08002B2CF9AE}" pid="4" name="MSIP_Label_22f0b804-62e0-47d9-bc61-31b566d2ec1e_Method">
    <vt:lpwstr>Privileged</vt:lpwstr>
  </property>
  <property fmtid="{D5CDD505-2E9C-101B-9397-08002B2CF9AE}" pid="5" name="MSIP_Label_22f0b804-62e0-47d9-bc61-31b566d2ec1e_Name">
    <vt:lpwstr>22f0b804-62e0-47d9-bc61-31b566d2ec1e</vt:lpwstr>
  </property>
  <property fmtid="{D5CDD505-2E9C-101B-9397-08002B2CF9AE}" pid="6" name="MSIP_Label_22f0b804-62e0-47d9-bc61-31b566d2ec1e_SiteId">
    <vt:lpwstr>818b099f-45a1-4ad0-a663-221661b546d1</vt:lpwstr>
  </property>
  <property fmtid="{D5CDD505-2E9C-101B-9397-08002B2CF9AE}" pid="7" name="MSIP_Label_22f0b804-62e0-47d9-bc61-31b566d2ec1e_ContentBits">
    <vt:lpwstr>0</vt:lpwstr>
  </property>
  <property fmtid="{D5CDD505-2E9C-101B-9397-08002B2CF9AE}" pid="8" name="SI-CLASSIFIER-LABEL0">
    <vt:lpwstr>7Jl/QBvqGLObLtwhdb4Lkx+skuwYvsRoVCDfMObmp3zVxfeNeXZ4MUSCAPEJlwqtjOnmI9Mqr07vOMhbSDhEHdWLOw8whWffc9P4z/1ZR3BaAQcmJFTZ+2Bfl1bzN9kfCYX+aPgTuqfhuedPk2assvaSnh3J1+UGyLQBzIqxwhTFTbkftdvG/D35apkNdumhJR/gK+b6gzbtAkJ0kmfigUBys1wkcmmt3706CF1GG2TYtEDTd6i2wnnRiiJ80Tt</vt:lpwstr>
  </property>
  <property fmtid="{D5CDD505-2E9C-101B-9397-08002B2CF9AE}" pid="9" name="SI-CLASSIFIER-LABEL1">
    <vt:lpwstr>vLtauZisZ/pbcmHJL1oIDFw91xVVAhDhIksQOjHFHs5I=</vt:lpwstr>
  </property>
  <property fmtid="{D5CDD505-2E9C-101B-9397-08002B2CF9AE}" pid="10" name="KSOProductBuildVer">
    <vt:lpwstr>1049-12.2.0.21931</vt:lpwstr>
  </property>
  <property fmtid="{D5CDD505-2E9C-101B-9397-08002B2CF9AE}" pid="11" name="ICV">
    <vt:lpwstr>F6940C871787490CBC38D5C5C5983303_12</vt:lpwstr>
  </property>
</Properties>
</file>